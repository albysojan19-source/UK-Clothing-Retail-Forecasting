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ysojan/Desktop/"/>
    </mc:Choice>
  </mc:AlternateContent>
  <xr:revisionPtr revIDLastSave="0" documentId="13_ncr:1_{0D6190EE-7789-D340-A1C1-B239628890BD}" xr6:coauthVersionLast="47" xr6:coauthVersionMax="47" xr10:uidLastSave="{00000000-0000-0000-0000-000000000000}"/>
  <bookViews>
    <workbookView xWindow="0" yWindow="680" windowWidth="29400" windowHeight="17240" activeTab="1" xr2:uid="{CEF9BD28-2BF0-814B-96AC-6B034E48FD8E}"/>
  </bookViews>
  <sheets>
    <sheet name="Master" sheetId="1" r:id="rId1"/>
    <sheet name="Data Dictionary" sheetId="2" r:id="rId2"/>
    <sheet name="chart2" sheetId="3" r:id="rId3"/>
    <sheet name="Chart3" sheetId="4" r:id="rId4"/>
    <sheet name="Descriptive_Statistics" sheetId="5" r:id="rId5"/>
    <sheet name="Correl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2" i="5"/>
  <c r="D2" i="5"/>
  <c r="C2" i="5"/>
  <c r="B2" i="5"/>
</calcChain>
</file>

<file path=xl/sharedStrings.xml><?xml version="1.0" encoding="utf-8"?>
<sst xmlns="http://schemas.openxmlformats.org/spreadsheetml/2006/main" count="452" uniqueCount="162">
  <si>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</si>
  <si>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</si>
  <si>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</si>
  <si>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</si>
  <si>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</si>
  <si>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</si>
  <si>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</si>
  <si>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</si>
  <si>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</si>
  <si>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</si>
  <si>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</si>
  <si>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</si>
  <si>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</si>
  <si>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</si>
  <si>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</si>
  <si>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</si>
  <si>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</si>
  <si>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</si>
  <si>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</si>
  <si>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</si>
  <si>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</si>
  <si>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</si>
  <si>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</si>
  <si>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</si>
  <si>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</si>
  <si>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</si>
  <si>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</si>
  <si>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</si>
  <si>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</si>
  <si>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</si>
  <si>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</si>
  <si>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</si>
  <si>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</si>
  <si>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</si>
  <si>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</si>
  <si>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</si>
  <si>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</si>
  <si>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</si>
  <si>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</si>
  <si>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</si>
  <si>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</si>
  <si>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</si>
  <si>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</si>
  <si>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</si>
  <si>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</si>
  <si>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</si>
  <si>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</si>
  <si>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</si>
  <si>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</si>
  <si>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</si>
  <si>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</si>
  <si>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</si>
  <si>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</si>
  <si>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</si>
  <si>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</si>
  <si>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</si>
  <si>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</si>
  <si>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</si>
  <si>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</si>
  <si>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</si>
  <si>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</si>
  <si>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</si>
  <si>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</si>
  <si>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</si>
  <si>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</si>
  <si>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</si>
  <si>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</si>
  <si>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</si>
  <si>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</si>
  <si>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</si>
  <si>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</si>
  <si>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</si>
  <si>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</si>
  <si>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</si>
  <si>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</si>
  <si>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</si>
  <si>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</si>
  <si>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</si>
  <si>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</si>
  <si>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</si>
  <si>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</si>
  <si>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</si>
  <si>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</si>
  <si>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</si>
  <si>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</si>
  <si>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</si>
  <si>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</si>
  <si>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</si>
  <si>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</si>
  <si>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</si>
  <si>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</si>
  <si>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</si>
  <si>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</si>
  <si>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</si>
  <si>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</si>
  <si>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</si>
  <si>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</si>
  <si>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</si>
  <si>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</si>
  <si>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</si>
  <si>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</si>
  <si>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</si>
  <si>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</si>
  <si>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</si>
  <si>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</si>
  <si>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</si>
  <si>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</si>
  <si>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</si>
  <si>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</si>
  <si>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</si>
  <si>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</si>
  <si>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</si>
  <si>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</si>
  <si>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</si>
  <si>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</si>
  <si>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</si>
  <si>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</si>
  <si>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</si>
  <si>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</si>
  <si>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</si>
  <si>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</si>
  <si>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</si>
  <si>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</si>
  <si>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</si>
  <si>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</si>
  <si>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</si>
  <si>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</si>
  <si>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</si>
  <si>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</si>
  <si>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</si>
  <si>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</si>
  <si>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</si>
  <si>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Sales_volume</t>
  </si>
  <si>
    <t>Date</t>
  </si>
  <si>
    <t>Clothing_CPI</t>
  </si>
  <si>
    <t>Winter_Coats</t>
  </si>
  <si>
    <t>Summer_Dresses</t>
  </si>
  <si>
    <t>Black_Friday_Clothing</t>
  </si>
  <si>
    <t>School_Uniform</t>
  </si>
  <si>
    <t>Variable</t>
  </si>
  <si>
    <t>Description</t>
  </si>
  <si>
    <t>Source</t>
  </si>
  <si>
    <t>Unit</t>
  </si>
  <si>
    <t>Monthly observation period</t>
  </si>
  <si>
    <t>ONS / Google Trends</t>
  </si>
  <si>
    <t>Month-Year</t>
  </si>
  <si>
    <t>Sales_Volume</t>
  </si>
  <si>
    <t>ONS Retail Sales Index</t>
  </si>
  <si>
    <t>Index</t>
  </si>
  <si>
    <t>Consumer Price Index for Clothing and Footwear (2015=100)</t>
  </si>
  <si>
    <t>ONS CPI Dataset</t>
  </si>
  <si>
    <t>Google search interest for “winter coats” in the UK</t>
  </si>
  <si>
    <t>Google Trends</t>
  </si>
  <si>
    <t>0–100</t>
  </si>
  <si>
    <t>Google search interest for “summer dresses” in the UK</t>
  </si>
  <si>
    <t>Google search interest for “black friday clothing” in the UK</t>
  </si>
  <si>
    <t>Google search interest for “school uniform” in the UK</t>
  </si>
  <si>
    <t>Mean</t>
  </si>
  <si>
    <t>Std. Dev.</t>
  </si>
  <si>
    <t>Min</t>
  </si>
  <si>
    <t>Max</t>
  </si>
  <si>
    <t>Volume of sales in textile, clothing and footwear stores (non-seasonally 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</si>
</sst>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UK Clothing Retail Sales Volume Index (2015–2025)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Master!$A$2:$A$133</c:f>
              <c:strCache>
                <c:ptCount val="132"/>
                <c:pt idx="0">
                  <c:v>2015 JAN</c:v>
                </c:pt>
                <c:pt idx="1">
                  <c:v>2015 FEB</c:v>
                </c:pt>
                <c:pt idx="2">
                  <c:v>2015 MAR</c:v>
                </c:pt>
                <c:pt idx="3">
                  <c:v>2015 APR</c:v>
                </c:pt>
                <c:pt idx="4">
                  <c:v>2015 MAY</c:v>
                </c:pt>
                <c:pt idx="5">
                  <c:v>2015 JUN</c:v>
                </c:pt>
                <c:pt idx="6">
                  <c:v>2015 JUL</c:v>
                </c:pt>
                <c:pt idx="7">
                  <c:v>2015 AUG</c:v>
                </c:pt>
                <c:pt idx="8">
                  <c:v>2015 SEP</c:v>
                </c:pt>
                <c:pt idx="9">
                  <c:v>2015 OCT</c:v>
                </c:pt>
                <c:pt idx="10">
                  <c:v>2015 NOV</c:v>
                </c:pt>
                <c:pt idx="11">
                  <c:v>2015 DEC</c:v>
                </c:pt>
                <c:pt idx="12">
                  <c:v>2016 JAN</c:v>
                </c:pt>
                <c:pt idx="13">
                  <c:v>2016 FEB</c:v>
                </c:pt>
                <c:pt idx="14">
                  <c:v>2016 MAR</c:v>
                </c:pt>
                <c:pt idx="15">
                  <c:v>2016 APR</c:v>
                </c:pt>
                <c:pt idx="16">
                  <c:v>2016 MAY</c:v>
                </c:pt>
                <c:pt idx="17">
                  <c:v>2016 JUN</c:v>
                </c:pt>
                <c:pt idx="18">
                  <c:v>2016 JUL</c:v>
                </c:pt>
                <c:pt idx="19">
                  <c:v>2016 AUG</c:v>
                </c:pt>
                <c:pt idx="20">
                  <c:v>2016 SEP</c:v>
                </c:pt>
                <c:pt idx="21">
                  <c:v>2016 OCT</c:v>
                </c:pt>
                <c:pt idx="22">
                  <c:v>2016 NOV</c:v>
                </c:pt>
                <c:pt idx="23">
                  <c:v>2016 DEC</c:v>
                </c:pt>
                <c:pt idx="24">
                  <c:v>2017 JAN</c:v>
                </c:pt>
                <c:pt idx="25">
                  <c:v>2017 FEB</c:v>
                </c:pt>
                <c:pt idx="26">
                  <c:v>2017 MAR</c:v>
                </c:pt>
                <c:pt idx="27">
                  <c:v>2017 APR</c:v>
                </c:pt>
                <c:pt idx="28">
                  <c:v>2017 MAY</c:v>
                </c:pt>
                <c:pt idx="29">
                  <c:v>2017 JUN</c:v>
                </c:pt>
                <c:pt idx="30">
                  <c:v>2017 JUL</c:v>
                </c:pt>
                <c:pt idx="31">
                  <c:v>2017 AUG</c:v>
                </c:pt>
                <c:pt idx="32">
                  <c:v>2017 SEP</c:v>
                </c:pt>
                <c:pt idx="33">
                  <c:v>2017 OCT</c:v>
                </c:pt>
                <c:pt idx="34">
                  <c:v>2017 NOV</c:v>
                </c:pt>
                <c:pt idx="35">
                  <c:v>2017 DEC</c:v>
                </c:pt>
                <c:pt idx="36">
                  <c:v>2018 JAN</c:v>
                </c:pt>
                <c:pt idx="37">
                  <c:v>2018 FEB</c:v>
                </c:pt>
                <c:pt idx="38">
                  <c:v>2018 MAR</c:v>
                </c:pt>
                <c:pt idx="39">
                  <c:v>2018 APR</c:v>
                </c:pt>
                <c:pt idx="40">
                  <c:v>2018 MAY</c:v>
                </c:pt>
                <c:pt idx="41">
                  <c:v>2018 JUN</c:v>
                </c:pt>
                <c:pt idx="42">
                  <c:v>2018 JUL</c:v>
                </c:pt>
                <c:pt idx="43">
                  <c:v>2018 AUG</c:v>
                </c:pt>
                <c:pt idx="44">
                  <c:v>2018 SEP</c:v>
                </c:pt>
                <c:pt idx="45">
                  <c:v>2018 OCT</c:v>
                </c:pt>
                <c:pt idx="46">
                  <c:v>2018 NOV</c:v>
                </c:pt>
                <c:pt idx="47">
                  <c:v>2018 DEC</c:v>
                </c:pt>
                <c:pt idx="48">
                  <c:v>2019 JAN</c:v>
                </c:pt>
                <c:pt idx="49">
                  <c:v>2019 FEB</c:v>
                </c:pt>
                <c:pt idx="50">
                  <c:v>2019 MAR</c:v>
                </c:pt>
                <c:pt idx="51">
                  <c:v>2019 APR</c:v>
                </c:pt>
                <c:pt idx="52">
                  <c:v>2019 MAY</c:v>
                </c:pt>
                <c:pt idx="53">
                  <c:v>2019 JUN</c:v>
                </c:pt>
                <c:pt idx="54">
                  <c:v>2019 JUL</c:v>
                </c:pt>
                <c:pt idx="55">
                  <c:v>2019 AUG</c:v>
                </c:pt>
                <c:pt idx="56">
                  <c:v>2019 SEP</c:v>
                </c:pt>
                <c:pt idx="57">
                  <c:v>2019 OCT</c:v>
                </c:pt>
                <c:pt idx="58">
                  <c:v>2019 NOV</c:v>
                </c:pt>
                <c:pt idx="59">
                  <c:v>2019 DEC</c:v>
                </c:pt>
                <c:pt idx="60">
                  <c:v>2020 JAN</c:v>
                </c:pt>
                <c:pt idx="61">
                  <c:v>2020 FEB</c:v>
                </c:pt>
                <c:pt idx="62">
                  <c:v>2020 MAR</c:v>
                </c:pt>
                <c:pt idx="63">
                  <c:v>2020 APR</c:v>
                </c:pt>
                <c:pt idx="64">
                  <c:v>2020 MAY</c:v>
                </c:pt>
                <c:pt idx="65">
                  <c:v>2020 JUN</c:v>
                </c:pt>
                <c:pt idx="66">
                  <c:v>2020 JUL</c:v>
                </c:pt>
                <c:pt idx="67">
                  <c:v>2020 AUG</c:v>
                </c:pt>
                <c:pt idx="68">
                  <c:v>2020 SEP</c:v>
                </c:pt>
                <c:pt idx="69">
                  <c:v>2020 OCT</c:v>
                </c:pt>
                <c:pt idx="70">
                  <c:v>2020 NOV</c:v>
                </c:pt>
                <c:pt idx="71">
                  <c:v>2020 DEC</c:v>
                </c:pt>
                <c:pt idx="72">
                  <c:v>2021 JAN</c:v>
                </c:pt>
                <c:pt idx="73">
                  <c:v>2021 FEB</c:v>
                </c:pt>
                <c:pt idx="74">
                  <c:v>2021 MAR</c:v>
                </c:pt>
                <c:pt idx="75">
                  <c:v>2021 APR</c:v>
                </c:pt>
                <c:pt idx="76">
                  <c:v>2021 MAY</c:v>
                </c:pt>
                <c:pt idx="77">
                  <c:v>2021 JUN</c:v>
                </c:pt>
                <c:pt idx="78">
                  <c:v>2021 JUL</c:v>
                </c:pt>
                <c:pt idx="79">
                  <c:v>2021 AUG</c:v>
                </c:pt>
                <c:pt idx="80">
                  <c:v>2021 SEP</c:v>
                </c:pt>
                <c:pt idx="81">
                  <c:v>2021 OCT</c:v>
                </c:pt>
                <c:pt idx="82">
                  <c:v>2021 NOV</c:v>
                </c:pt>
                <c:pt idx="83">
                  <c:v>2021 DEC</c:v>
                </c:pt>
                <c:pt idx="84">
                  <c:v>2022 JAN</c:v>
                </c:pt>
                <c:pt idx="85">
                  <c:v>2022 FEB</c:v>
                </c:pt>
                <c:pt idx="86">
                  <c:v>2022 MAR</c:v>
                </c:pt>
                <c:pt idx="87">
                  <c:v>2022 APR</c:v>
                </c:pt>
                <c:pt idx="88">
                  <c:v>2022 MAY</c:v>
                </c:pt>
                <c:pt idx="89">
                  <c:v>2022 JUN</c:v>
                </c:pt>
                <c:pt idx="90">
                  <c:v>2022 JUL</c:v>
                </c:pt>
                <c:pt idx="91">
                  <c:v>2022 AUG</c:v>
                </c:pt>
                <c:pt idx="92">
                  <c:v>2022 SEP</c:v>
                </c:pt>
                <c:pt idx="93">
                  <c:v>2022 OCT</c:v>
                </c:pt>
                <c:pt idx="94">
                  <c:v>2022 NOV</c:v>
                </c:pt>
                <c:pt idx="95">
                  <c:v>2022 DEC</c:v>
                </c:pt>
                <c:pt idx="96">
                  <c:v>2023 JAN</c:v>
                </c:pt>
                <c:pt idx="97">
                  <c:v>2023 FEB</c:v>
                </c:pt>
                <c:pt idx="98">
                  <c:v>2023 MAR</c:v>
                </c:pt>
                <c:pt idx="99">
                  <c:v>2023 APR</c:v>
                </c:pt>
                <c:pt idx="100">
                  <c:v>2023 MAY</c:v>
                </c:pt>
                <c:pt idx="101">
                  <c:v>2023 JUN</c:v>
                </c:pt>
                <c:pt idx="102">
                  <c:v>2023 JUL</c:v>
                </c:pt>
                <c:pt idx="103">
                  <c:v>2023 AUG</c:v>
                </c:pt>
                <c:pt idx="104">
                  <c:v>2023 SEP</c:v>
                </c:pt>
                <c:pt idx="105">
                  <c:v>2023 OCT</c:v>
                </c:pt>
                <c:pt idx="106">
                  <c:v>2023 NOV</c:v>
                </c:pt>
                <c:pt idx="107">
                  <c:v>2023 DEC</c:v>
                </c:pt>
                <c:pt idx="108">
                  <c:v>2024 JAN</c:v>
                </c:pt>
                <c:pt idx="109">
                  <c:v>2024 FEB</c:v>
                </c:pt>
                <c:pt idx="110">
                  <c:v>2024 MAR</c:v>
                </c:pt>
                <c:pt idx="111">
                  <c:v>2024 APR</c:v>
                </c:pt>
                <c:pt idx="112">
                  <c:v>2024 MAY</c:v>
                </c:pt>
                <c:pt idx="113">
                  <c:v>2024 JUN</c:v>
                </c:pt>
                <c:pt idx="114">
                  <c:v>2024 JUL</c:v>
                </c:pt>
                <c:pt idx="115">
                  <c:v>2024 AUG</c:v>
                </c:pt>
                <c:pt idx="116">
                  <c:v>2024 SEP</c:v>
                </c:pt>
                <c:pt idx="117">
                  <c:v>2024 OCT</c:v>
                </c:pt>
                <c:pt idx="118">
                  <c:v>2024 NOV</c:v>
                </c:pt>
                <c:pt idx="119">
                  <c:v>2024 DEC</c:v>
                </c:pt>
                <c:pt idx="120">
                  <c:v>2025 JAN</c:v>
                </c:pt>
                <c:pt idx="121">
                  <c:v>2025 FEB</c:v>
                </c:pt>
                <c:pt idx="122">
                  <c:v>2025 MAR</c:v>
                </c:pt>
                <c:pt idx="123">
                  <c:v>2025 APR</c:v>
                </c:pt>
                <c:pt idx="124">
                  <c:v>2025 MAY</c:v>
                </c:pt>
                <c:pt idx="125">
                  <c:v>2025 JUN</c:v>
                </c:pt>
                <c:pt idx="126">
                  <c:v>2025 JUL</c:v>
                </c:pt>
                <c:pt idx="127">
                  <c:v>2025 AUG</c:v>
                </c:pt>
                <c:pt idx="128">
                  <c:v>2025 SEP</c:v>
                </c:pt>
                <c:pt idx="129">
                  <c:v>2025 OCT</c:v>
                </c:pt>
                <c:pt idx="130">
                  <c:v>2025 NOV</c:v>
                </c:pt>
                <c:pt idx="131">
                  <c:v>2025 DEC</c:v>
                </c:pt>
              </c:strCache>
            </c:strRef>
          </c:cat>
          <c:val>
            <c:numRef>
              <c:f>Master!$B$2:$B$133</c:f>
              <c:numCache>
                <c:formatCode>General</c:formatCode>
                <c:ptCount val="132"/>
                <c:pt idx="0">
                  <c:v>82.7</c:v>
                </c:pt>
                <c:pt idx="1">
                  <c:v>79.5</c:v>
                </c:pt>
                <c:pt idx="2">
                  <c:v>87.2</c:v>
                </c:pt>
                <c:pt idx="3">
                  <c:v>93.4</c:v>
                </c:pt>
                <c:pt idx="4">
                  <c:v>94.3</c:v>
                </c:pt>
                <c:pt idx="5">
                  <c:v>100.4</c:v>
                </c:pt>
                <c:pt idx="6">
                  <c:v>101.7</c:v>
                </c:pt>
                <c:pt idx="7">
                  <c:v>99.4</c:v>
                </c:pt>
                <c:pt idx="8">
                  <c:v>96</c:v>
                </c:pt>
                <c:pt idx="9">
                  <c:v>96.9</c:v>
                </c:pt>
                <c:pt idx="10">
                  <c:v>110</c:v>
                </c:pt>
                <c:pt idx="11">
                  <c:v>136.9</c:v>
                </c:pt>
                <c:pt idx="12">
                  <c:v>82.5</c:v>
                </c:pt>
                <c:pt idx="13">
                  <c:v>76.5</c:v>
                </c:pt>
                <c:pt idx="14">
                  <c:v>82.7</c:v>
                </c:pt>
                <c:pt idx="15">
                  <c:v>86.2</c:v>
                </c:pt>
                <c:pt idx="16">
                  <c:v>91.9</c:v>
                </c:pt>
                <c:pt idx="17">
                  <c:v>94.8</c:v>
                </c:pt>
                <c:pt idx="18">
                  <c:v>104.9</c:v>
                </c:pt>
                <c:pt idx="19">
                  <c:v>97.7</c:v>
                </c:pt>
                <c:pt idx="20">
                  <c:v>92.2</c:v>
                </c:pt>
                <c:pt idx="21">
                  <c:v>100.9</c:v>
                </c:pt>
                <c:pt idx="22">
                  <c:v>110.4</c:v>
                </c:pt>
                <c:pt idx="23">
                  <c:v>138.6</c:v>
                </c:pt>
                <c:pt idx="24">
                  <c:v>84</c:v>
                </c:pt>
                <c:pt idx="25">
                  <c:v>80</c:v>
                </c:pt>
                <c:pt idx="26">
                  <c:v>87.8</c:v>
                </c:pt>
                <c:pt idx="27">
                  <c:v>93.4</c:v>
                </c:pt>
                <c:pt idx="28">
                  <c:v>95.5</c:v>
                </c:pt>
                <c:pt idx="29">
                  <c:v>101</c:v>
                </c:pt>
                <c:pt idx="30">
                  <c:v>106.4</c:v>
                </c:pt>
                <c:pt idx="31">
                  <c:v>101.5</c:v>
                </c:pt>
                <c:pt idx="32">
                  <c:v>98.3</c:v>
                </c:pt>
                <c:pt idx="33">
                  <c:v>99</c:v>
                </c:pt>
                <c:pt idx="34">
                  <c:v>113.1</c:v>
                </c:pt>
                <c:pt idx="35">
                  <c:v>140.4</c:v>
                </c:pt>
                <c:pt idx="36">
                  <c:v>83.8</c:v>
                </c:pt>
                <c:pt idx="37">
                  <c:v>78.5</c:v>
                </c:pt>
                <c:pt idx="38">
                  <c:v>85.2</c:v>
                </c:pt>
                <c:pt idx="39">
                  <c:v>90.4</c:v>
                </c:pt>
                <c:pt idx="40">
                  <c:v>96.8</c:v>
                </c:pt>
                <c:pt idx="41">
                  <c:v>100.8</c:v>
                </c:pt>
                <c:pt idx="42">
                  <c:v>108.4</c:v>
                </c:pt>
                <c:pt idx="43">
                  <c:v>99.7</c:v>
                </c:pt>
                <c:pt idx="44">
                  <c:v>97.4</c:v>
                </c:pt>
                <c:pt idx="45">
                  <c:v>99.6</c:v>
                </c:pt>
                <c:pt idx="46">
                  <c:v>114.9</c:v>
                </c:pt>
                <c:pt idx="47">
                  <c:v>144.69999999999999</c:v>
                </c:pt>
                <c:pt idx="48">
                  <c:v>87.4</c:v>
                </c:pt>
                <c:pt idx="49">
                  <c:v>81.900000000000006</c:v>
                </c:pt>
                <c:pt idx="50">
                  <c:v>90.5</c:v>
                </c:pt>
                <c:pt idx="51">
                  <c:v>99.5</c:v>
                </c:pt>
                <c:pt idx="52">
                  <c:v>97.3</c:v>
                </c:pt>
                <c:pt idx="53">
                  <c:v>104.1</c:v>
                </c:pt>
                <c:pt idx="54">
                  <c:v>109.7</c:v>
                </c:pt>
                <c:pt idx="55">
                  <c:v>103.2</c:v>
                </c:pt>
                <c:pt idx="56">
                  <c:v>100.3</c:v>
                </c:pt>
                <c:pt idx="57">
                  <c:v>101.7</c:v>
                </c:pt>
                <c:pt idx="58">
                  <c:v>113.6</c:v>
                </c:pt>
                <c:pt idx="59">
                  <c:v>142</c:v>
                </c:pt>
                <c:pt idx="60">
                  <c:v>88.9</c:v>
                </c:pt>
                <c:pt idx="61">
                  <c:v>82.4</c:v>
                </c:pt>
                <c:pt idx="62">
                  <c:v>58.2</c:v>
                </c:pt>
                <c:pt idx="63">
                  <c:v>31.1</c:v>
                </c:pt>
                <c:pt idx="64">
                  <c:v>38.4</c:v>
                </c:pt>
                <c:pt idx="65">
                  <c:v>68.2</c:v>
                </c:pt>
                <c:pt idx="66">
                  <c:v>83.6</c:v>
                </c:pt>
                <c:pt idx="67">
                  <c:v>88</c:v>
                </c:pt>
                <c:pt idx="68">
                  <c:v>87.3</c:v>
                </c:pt>
                <c:pt idx="69">
                  <c:v>88.3</c:v>
                </c:pt>
                <c:pt idx="70">
                  <c:v>79.400000000000006</c:v>
                </c:pt>
                <c:pt idx="71">
                  <c:v>118.5</c:v>
                </c:pt>
                <c:pt idx="72">
                  <c:v>47.4</c:v>
                </c:pt>
                <c:pt idx="73">
                  <c:v>42.2</c:v>
                </c:pt>
                <c:pt idx="74">
                  <c:v>52.9</c:v>
                </c:pt>
                <c:pt idx="75">
                  <c:v>92</c:v>
                </c:pt>
                <c:pt idx="76">
                  <c:v>92.6</c:v>
                </c:pt>
                <c:pt idx="77">
                  <c:v>94.5</c:v>
                </c:pt>
                <c:pt idx="78">
                  <c:v>95.9</c:v>
                </c:pt>
                <c:pt idx="79">
                  <c:v>95.5</c:v>
                </c:pt>
                <c:pt idx="80">
                  <c:v>95.2</c:v>
                </c:pt>
                <c:pt idx="81">
                  <c:v>101.3</c:v>
                </c:pt>
                <c:pt idx="82">
                  <c:v>117.2</c:v>
                </c:pt>
                <c:pt idx="83">
                  <c:v>128.9</c:v>
                </c:pt>
                <c:pt idx="84">
                  <c:v>77.8</c:v>
                </c:pt>
                <c:pt idx="85">
                  <c:v>80.8</c:v>
                </c:pt>
                <c:pt idx="86">
                  <c:v>87</c:v>
                </c:pt>
                <c:pt idx="87">
                  <c:v>94.5</c:v>
                </c:pt>
                <c:pt idx="88">
                  <c:v>99.7</c:v>
                </c:pt>
                <c:pt idx="89">
                  <c:v>99.5</c:v>
                </c:pt>
                <c:pt idx="90">
                  <c:v>103.3</c:v>
                </c:pt>
                <c:pt idx="91">
                  <c:v>94.3</c:v>
                </c:pt>
                <c:pt idx="92">
                  <c:v>93.9</c:v>
                </c:pt>
                <c:pt idx="93">
                  <c:v>100</c:v>
                </c:pt>
                <c:pt idx="94">
                  <c:v>117.1</c:v>
                </c:pt>
                <c:pt idx="95">
                  <c:v>141.5</c:v>
                </c:pt>
                <c:pt idx="96">
                  <c:v>87.2</c:v>
                </c:pt>
                <c:pt idx="97">
                  <c:v>84.4</c:v>
                </c:pt>
                <c:pt idx="98">
                  <c:v>89.1</c:v>
                </c:pt>
                <c:pt idx="99">
                  <c:v>97.1</c:v>
                </c:pt>
                <c:pt idx="100">
                  <c:v>99.9</c:v>
                </c:pt>
                <c:pt idx="101">
                  <c:v>101.7</c:v>
                </c:pt>
                <c:pt idx="102">
                  <c:v>102.2</c:v>
                </c:pt>
                <c:pt idx="103">
                  <c:v>96.9</c:v>
                </c:pt>
                <c:pt idx="104">
                  <c:v>91.9</c:v>
                </c:pt>
                <c:pt idx="105">
                  <c:v>98.2</c:v>
                </c:pt>
                <c:pt idx="106">
                  <c:v>115.4</c:v>
                </c:pt>
                <c:pt idx="107">
                  <c:v>132.30000000000001</c:v>
                </c:pt>
                <c:pt idx="108">
                  <c:v>81.900000000000006</c:v>
                </c:pt>
                <c:pt idx="109">
                  <c:v>78.900000000000006</c:v>
                </c:pt>
                <c:pt idx="110">
                  <c:v>86.2</c:v>
                </c:pt>
                <c:pt idx="111">
                  <c:v>86.5</c:v>
                </c:pt>
                <c:pt idx="112">
                  <c:v>97</c:v>
                </c:pt>
                <c:pt idx="113">
                  <c:v>95.1</c:v>
                </c:pt>
                <c:pt idx="114">
                  <c:v>98.6</c:v>
                </c:pt>
                <c:pt idx="115">
                  <c:v>96.3</c:v>
                </c:pt>
                <c:pt idx="116">
                  <c:v>94.1</c:v>
                </c:pt>
                <c:pt idx="117">
                  <c:v>95.3</c:v>
                </c:pt>
                <c:pt idx="118">
                  <c:v>105.4</c:v>
                </c:pt>
                <c:pt idx="119">
                  <c:v>131.19999999999999</c:v>
                </c:pt>
                <c:pt idx="120">
                  <c:v>78.599999999999994</c:v>
                </c:pt>
                <c:pt idx="121">
                  <c:v>79.7</c:v>
                </c:pt>
                <c:pt idx="122">
                  <c:v>87.5</c:v>
                </c:pt>
                <c:pt idx="123">
                  <c:v>92.4</c:v>
                </c:pt>
                <c:pt idx="124">
                  <c:v>92.8</c:v>
                </c:pt>
                <c:pt idx="125">
                  <c:v>94.5</c:v>
                </c:pt>
                <c:pt idx="126">
                  <c:v>101.7</c:v>
                </c:pt>
                <c:pt idx="127">
                  <c:v>98.5</c:v>
                </c:pt>
                <c:pt idx="128">
                  <c:v>99.7</c:v>
                </c:pt>
                <c:pt idx="129">
                  <c:v>100.2</c:v>
                </c:pt>
                <c:pt idx="130">
                  <c:v>117.3</c:v>
                </c:pt>
                <c:pt idx="131">
                  <c:v>133.30000000000001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6B3-C744-BC12-9C481C4FF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219136"/>
        <c:axId val="227215552"/>
      </c:lineChart>
      <c:catAx>
        <c:axId val="22721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15552"/>
        <c:crosses val="autoZero"/>
        <c:auto val="1"/>
        <c:lblAlgn val="ctr"/>
        <c:lblOffset val="100"/>
        <c:noMultiLvlLbl val="0"/>
      </c:catAx>
      <c:valAx>
        <c:axId val="2272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Sales_volume_Index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1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UK Clothing and Footwear CPI (2015–2025)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chart2!$B$1</c:f>
              <c:strCache>
                <c:ptCount val="1"/>
                <c:pt idx="0">
                  <c:v>Clothing_CPI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chart2!$A$2:$A$133</c:f>
              <c:strCache>
                <c:ptCount val="132"/>
                <c:pt idx="0">
                  <c:v>2015 JAN</c:v>
                </c:pt>
                <c:pt idx="1">
                  <c:v>2015 FEB</c:v>
                </c:pt>
                <c:pt idx="2">
                  <c:v>2015 MAR</c:v>
                </c:pt>
                <c:pt idx="3">
                  <c:v>2015 APR</c:v>
                </c:pt>
                <c:pt idx="4">
                  <c:v>2015 MAY</c:v>
                </c:pt>
                <c:pt idx="5">
                  <c:v>2015 JUN</c:v>
                </c:pt>
                <c:pt idx="6">
                  <c:v>2015 JUL</c:v>
                </c:pt>
                <c:pt idx="7">
                  <c:v>2015 AUG</c:v>
                </c:pt>
                <c:pt idx="8">
                  <c:v>2015 SEP</c:v>
                </c:pt>
                <c:pt idx="9">
                  <c:v>2015 OCT</c:v>
                </c:pt>
                <c:pt idx="10">
                  <c:v>2015 NOV</c:v>
                </c:pt>
                <c:pt idx="11">
                  <c:v>2015 DEC</c:v>
                </c:pt>
                <c:pt idx="12">
                  <c:v>2016 JAN</c:v>
                </c:pt>
                <c:pt idx="13">
                  <c:v>2016 FEB</c:v>
                </c:pt>
                <c:pt idx="14">
                  <c:v>2016 MAR</c:v>
                </c:pt>
                <c:pt idx="15">
                  <c:v>2016 APR</c:v>
                </c:pt>
                <c:pt idx="16">
                  <c:v>2016 MAY</c:v>
                </c:pt>
                <c:pt idx="17">
                  <c:v>2016 JUN</c:v>
                </c:pt>
                <c:pt idx="18">
                  <c:v>2016 JUL</c:v>
                </c:pt>
                <c:pt idx="19">
                  <c:v>2016 AUG</c:v>
                </c:pt>
                <c:pt idx="20">
                  <c:v>2016 SEP</c:v>
                </c:pt>
                <c:pt idx="21">
                  <c:v>2016 OCT</c:v>
                </c:pt>
                <c:pt idx="22">
                  <c:v>2016 NOV</c:v>
                </c:pt>
                <c:pt idx="23">
                  <c:v>2016 DEC</c:v>
                </c:pt>
                <c:pt idx="24">
                  <c:v>2017 JAN</c:v>
                </c:pt>
                <c:pt idx="25">
                  <c:v>2017 FEB</c:v>
                </c:pt>
                <c:pt idx="26">
                  <c:v>2017 MAR</c:v>
                </c:pt>
                <c:pt idx="27">
                  <c:v>2017 APR</c:v>
                </c:pt>
                <c:pt idx="28">
                  <c:v>2017 MAY</c:v>
                </c:pt>
                <c:pt idx="29">
                  <c:v>2017 JUN</c:v>
                </c:pt>
                <c:pt idx="30">
                  <c:v>2017 JUL</c:v>
                </c:pt>
                <c:pt idx="31">
                  <c:v>2017 AUG</c:v>
                </c:pt>
                <c:pt idx="32">
                  <c:v>2017 SEP</c:v>
                </c:pt>
                <c:pt idx="33">
                  <c:v>2017 OCT</c:v>
                </c:pt>
                <c:pt idx="34">
                  <c:v>2017 NOV</c:v>
                </c:pt>
                <c:pt idx="35">
                  <c:v>2017 DEC</c:v>
                </c:pt>
                <c:pt idx="36">
                  <c:v>2018 JAN</c:v>
                </c:pt>
                <c:pt idx="37">
                  <c:v>2018 FEB</c:v>
                </c:pt>
                <c:pt idx="38">
                  <c:v>2018 MAR</c:v>
                </c:pt>
                <c:pt idx="39">
                  <c:v>2018 APR</c:v>
                </c:pt>
                <c:pt idx="40">
                  <c:v>2018 MAY</c:v>
                </c:pt>
                <c:pt idx="41">
                  <c:v>2018 JUN</c:v>
                </c:pt>
                <c:pt idx="42">
                  <c:v>2018 JUL</c:v>
                </c:pt>
                <c:pt idx="43">
                  <c:v>2018 AUG</c:v>
                </c:pt>
                <c:pt idx="44">
                  <c:v>2018 SEP</c:v>
                </c:pt>
                <c:pt idx="45">
                  <c:v>2018 OCT</c:v>
                </c:pt>
                <c:pt idx="46">
                  <c:v>2018 NOV</c:v>
                </c:pt>
                <c:pt idx="47">
                  <c:v>2018 DEC</c:v>
                </c:pt>
                <c:pt idx="48">
                  <c:v>2019 JAN</c:v>
                </c:pt>
                <c:pt idx="49">
                  <c:v>2019 FEB</c:v>
                </c:pt>
                <c:pt idx="50">
                  <c:v>2019 MAR</c:v>
                </c:pt>
                <c:pt idx="51">
                  <c:v>2019 APR</c:v>
                </c:pt>
                <c:pt idx="52">
                  <c:v>2019 MAY</c:v>
                </c:pt>
                <c:pt idx="53">
                  <c:v>2019 JUN</c:v>
                </c:pt>
                <c:pt idx="54">
                  <c:v>2019 JUL</c:v>
                </c:pt>
                <c:pt idx="55">
                  <c:v>2019 AUG</c:v>
                </c:pt>
                <c:pt idx="56">
                  <c:v>2019 SEP</c:v>
                </c:pt>
                <c:pt idx="57">
                  <c:v>2019 OCT</c:v>
                </c:pt>
                <c:pt idx="58">
                  <c:v>2019 NOV</c:v>
                </c:pt>
                <c:pt idx="59">
                  <c:v>2019 DEC</c:v>
                </c:pt>
                <c:pt idx="60">
                  <c:v>2020 JAN</c:v>
                </c:pt>
                <c:pt idx="61">
                  <c:v>2020 FEB</c:v>
                </c:pt>
                <c:pt idx="62">
                  <c:v>2020 MAR</c:v>
                </c:pt>
                <c:pt idx="63">
                  <c:v>2020 APR</c:v>
                </c:pt>
                <c:pt idx="64">
                  <c:v>2020 MAY</c:v>
                </c:pt>
                <c:pt idx="65">
                  <c:v>2020 JUN</c:v>
                </c:pt>
                <c:pt idx="66">
                  <c:v>2020 JUL</c:v>
                </c:pt>
                <c:pt idx="67">
                  <c:v>2020 AUG</c:v>
                </c:pt>
                <c:pt idx="68">
                  <c:v>2020 SEP</c:v>
                </c:pt>
                <c:pt idx="69">
                  <c:v>2020 OCT</c:v>
                </c:pt>
                <c:pt idx="70">
                  <c:v>2020 NOV</c:v>
                </c:pt>
                <c:pt idx="71">
                  <c:v>2020 DEC</c:v>
                </c:pt>
                <c:pt idx="72">
                  <c:v>2021 JAN</c:v>
                </c:pt>
                <c:pt idx="73">
                  <c:v>2021 FEB</c:v>
                </c:pt>
                <c:pt idx="74">
                  <c:v>2021 MAR</c:v>
                </c:pt>
                <c:pt idx="75">
                  <c:v>2021 APR</c:v>
                </c:pt>
                <c:pt idx="76">
                  <c:v>2021 MAY</c:v>
                </c:pt>
                <c:pt idx="77">
                  <c:v>2021 JUN</c:v>
                </c:pt>
                <c:pt idx="78">
                  <c:v>2021 JUL</c:v>
                </c:pt>
                <c:pt idx="79">
                  <c:v>2021 AUG</c:v>
                </c:pt>
                <c:pt idx="80">
                  <c:v>2021 SEP</c:v>
                </c:pt>
                <c:pt idx="81">
                  <c:v>2021 OCT</c:v>
                </c:pt>
                <c:pt idx="82">
                  <c:v>2021 NOV</c:v>
                </c:pt>
                <c:pt idx="83">
                  <c:v>2021 DEC</c:v>
                </c:pt>
                <c:pt idx="84">
                  <c:v>2022 JAN</c:v>
                </c:pt>
                <c:pt idx="85">
                  <c:v>2022 FEB</c:v>
                </c:pt>
                <c:pt idx="86">
                  <c:v>2022 MAR</c:v>
                </c:pt>
                <c:pt idx="87">
                  <c:v>2022 APR</c:v>
                </c:pt>
                <c:pt idx="88">
                  <c:v>2022 MAY</c:v>
                </c:pt>
                <c:pt idx="89">
                  <c:v>2022 JUN</c:v>
                </c:pt>
                <c:pt idx="90">
                  <c:v>2022 JUL</c:v>
                </c:pt>
                <c:pt idx="91">
                  <c:v>2022 AUG</c:v>
                </c:pt>
                <c:pt idx="92">
                  <c:v>2022 SEP</c:v>
                </c:pt>
                <c:pt idx="93">
                  <c:v>2022 OCT</c:v>
                </c:pt>
                <c:pt idx="94">
                  <c:v>2022 NOV</c:v>
                </c:pt>
                <c:pt idx="95">
                  <c:v>2022 DEC</c:v>
                </c:pt>
                <c:pt idx="96">
                  <c:v>2023 JAN</c:v>
                </c:pt>
                <c:pt idx="97">
                  <c:v>2023 FEB</c:v>
                </c:pt>
                <c:pt idx="98">
                  <c:v>2023 MAR</c:v>
                </c:pt>
                <c:pt idx="99">
                  <c:v>2023 APR</c:v>
                </c:pt>
                <c:pt idx="100">
                  <c:v>2023 MAY</c:v>
                </c:pt>
                <c:pt idx="101">
                  <c:v>2023 JUN</c:v>
                </c:pt>
                <c:pt idx="102">
                  <c:v>2023 JUL</c:v>
                </c:pt>
                <c:pt idx="103">
                  <c:v>2023 AUG</c:v>
                </c:pt>
                <c:pt idx="104">
                  <c:v>2023 SEP</c:v>
                </c:pt>
                <c:pt idx="105">
                  <c:v>2023 OCT</c:v>
                </c:pt>
                <c:pt idx="106">
                  <c:v>2023 NOV</c:v>
                </c:pt>
                <c:pt idx="107">
                  <c:v>2023 DEC</c:v>
                </c:pt>
                <c:pt idx="108">
                  <c:v>2024 JAN</c:v>
                </c:pt>
                <c:pt idx="109">
                  <c:v>2024 FEB</c:v>
                </c:pt>
                <c:pt idx="110">
                  <c:v>2024 MAR</c:v>
                </c:pt>
                <c:pt idx="111">
                  <c:v>2024 APR</c:v>
                </c:pt>
                <c:pt idx="112">
                  <c:v>2024 MAY</c:v>
                </c:pt>
                <c:pt idx="113">
                  <c:v>2024 JUN</c:v>
                </c:pt>
                <c:pt idx="114">
                  <c:v>2024 JUL</c:v>
                </c:pt>
                <c:pt idx="115">
                  <c:v>2024 AUG</c:v>
                </c:pt>
                <c:pt idx="116">
                  <c:v>2024 SEP</c:v>
                </c:pt>
                <c:pt idx="117">
                  <c:v>2024 OCT</c:v>
                </c:pt>
                <c:pt idx="118">
                  <c:v>2024 NOV</c:v>
                </c:pt>
                <c:pt idx="119">
                  <c:v>2024 DEC</c:v>
                </c:pt>
                <c:pt idx="120">
                  <c:v>2025 JAN</c:v>
                </c:pt>
                <c:pt idx="121">
                  <c:v>2025 FEB</c:v>
                </c:pt>
                <c:pt idx="122">
                  <c:v>2025 MAR</c:v>
                </c:pt>
                <c:pt idx="123">
                  <c:v>2025 APR</c:v>
                </c:pt>
                <c:pt idx="124">
                  <c:v>2025 MAY</c:v>
                </c:pt>
                <c:pt idx="125">
                  <c:v>2025 JUN</c:v>
                </c:pt>
                <c:pt idx="126">
                  <c:v>2025 JUL</c:v>
                </c:pt>
                <c:pt idx="127">
                  <c:v>2025 AUG</c:v>
                </c:pt>
                <c:pt idx="128">
                  <c:v>2025 SEP</c:v>
                </c:pt>
                <c:pt idx="129">
                  <c:v>2025 OCT</c:v>
                </c:pt>
                <c:pt idx="130">
                  <c:v>2025 NOV</c:v>
                </c:pt>
                <c:pt idx="131">
                  <c:v>2025 DEC</c:v>
                </c:pt>
              </c:strCache>
            </c:strRef>
          </c:cat>
          <c:val>
            <c:numRef>
              <c:f>chart2!$B$2:$B$133</c:f>
              <c:numCache>
                <c:formatCode>General</c:formatCode>
                <c:ptCount val="132"/>
                <c:pt idx="0">
                  <c:v>98</c:v>
                </c:pt>
                <c:pt idx="1">
                  <c:v>99.3</c:v>
                </c:pt>
                <c:pt idx="2">
                  <c:v>99.2</c:v>
                </c:pt>
                <c:pt idx="3">
                  <c:v>99.9</c:v>
                </c:pt>
                <c:pt idx="4">
                  <c:v>100.5</c:v>
                </c:pt>
                <c:pt idx="5">
                  <c:v>100.1</c:v>
                </c:pt>
                <c:pt idx="6">
                  <c:v>96.7</c:v>
                </c:pt>
                <c:pt idx="7">
                  <c:v>98.2</c:v>
                </c:pt>
                <c:pt idx="8">
                  <c:v>100.9</c:v>
                </c:pt>
                <c:pt idx="9">
                  <c:v>102.9</c:v>
                </c:pt>
                <c:pt idx="10">
                  <c:v>102.8</c:v>
                </c:pt>
                <c:pt idx="11">
                  <c:v>101.5</c:v>
                </c:pt>
                <c:pt idx="12">
                  <c:v>98.3</c:v>
                </c:pt>
                <c:pt idx="13">
                  <c:v>99.6</c:v>
                </c:pt>
                <c:pt idx="14">
                  <c:v>100.6</c:v>
                </c:pt>
                <c:pt idx="15">
                  <c:v>100.3</c:v>
                </c:pt>
                <c:pt idx="16">
                  <c:v>100.1</c:v>
                </c:pt>
                <c:pt idx="17">
                  <c:v>99.4</c:v>
                </c:pt>
                <c:pt idx="18">
                  <c:v>96</c:v>
                </c:pt>
                <c:pt idx="19">
                  <c:v>97</c:v>
                </c:pt>
                <c:pt idx="20">
                  <c:v>102</c:v>
                </c:pt>
                <c:pt idx="21">
                  <c:v>102.3</c:v>
                </c:pt>
                <c:pt idx="22">
                  <c:v>103.7</c:v>
                </c:pt>
                <c:pt idx="23">
                  <c:v>102.7</c:v>
                </c:pt>
                <c:pt idx="24">
                  <c:v>98.3</c:v>
                </c:pt>
                <c:pt idx="25">
                  <c:v>99.5</c:v>
                </c:pt>
                <c:pt idx="26">
                  <c:v>101.6</c:v>
                </c:pt>
                <c:pt idx="27">
                  <c:v>102.7</c:v>
                </c:pt>
                <c:pt idx="28">
                  <c:v>103.2</c:v>
                </c:pt>
                <c:pt idx="29">
                  <c:v>102.1</c:v>
                </c:pt>
                <c:pt idx="30">
                  <c:v>99.1</c:v>
                </c:pt>
                <c:pt idx="31">
                  <c:v>101.5</c:v>
                </c:pt>
                <c:pt idx="32">
                  <c:v>105.4</c:v>
                </c:pt>
                <c:pt idx="33">
                  <c:v>105.5</c:v>
                </c:pt>
                <c:pt idx="34">
                  <c:v>106.8</c:v>
                </c:pt>
                <c:pt idx="35">
                  <c:v>105.8</c:v>
                </c:pt>
                <c:pt idx="36">
                  <c:v>101.7</c:v>
                </c:pt>
                <c:pt idx="37">
                  <c:v>103.4</c:v>
                </c:pt>
                <c:pt idx="38">
                  <c:v>104.1</c:v>
                </c:pt>
                <c:pt idx="39">
                  <c:v>104.5</c:v>
                </c:pt>
                <c:pt idx="40">
                  <c:v>104.7</c:v>
                </c:pt>
                <c:pt idx="41">
                  <c:v>102.5</c:v>
                </c:pt>
                <c:pt idx="42">
                  <c:v>98.7</c:v>
                </c:pt>
                <c:pt idx="43">
                  <c:v>101.8</c:v>
                </c:pt>
                <c:pt idx="44">
                  <c:v>104.9</c:v>
                </c:pt>
                <c:pt idx="45">
                  <c:v>104.4</c:v>
                </c:pt>
                <c:pt idx="46">
                  <c:v>106</c:v>
                </c:pt>
                <c:pt idx="47">
                  <c:v>104.9</c:v>
                </c:pt>
                <c:pt idx="48">
                  <c:v>100.4</c:v>
                </c:pt>
                <c:pt idx="49">
                  <c:v>101.3</c:v>
                </c:pt>
                <c:pt idx="50">
                  <c:v>102.4</c:v>
                </c:pt>
                <c:pt idx="51">
                  <c:v>102.5</c:v>
                </c:pt>
                <c:pt idx="52">
                  <c:v>103</c:v>
                </c:pt>
                <c:pt idx="53">
                  <c:v>102</c:v>
                </c:pt>
                <c:pt idx="54">
                  <c:v>99.1</c:v>
                </c:pt>
                <c:pt idx="55">
                  <c:v>100.9</c:v>
                </c:pt>
                <c:pt idx="56">
                  <c:v>103.9</c:v>
                </c:pt>
                <c:pt idx="57">
                  <c:v>104.9</c:v>
                </c:pt>
                <c:pt idx="58">
                  <c:v>106</c:v>
                </c:pt>
                <c:pt idx="59">
                  <c:v>104</c:v>
                </c:pt>
                <c:pt idx="60">
                  <c:v>100.6</c:v>
                </c:pt>
                <c:pt idx="61">
                  <c:v>101.5</c:v>
                </c:pt>
                <c:pt idx="62">
                  <c:v>101.2</c:v>
                </c:pt>
                <c:pt idx="63">
                  <c:v>99.5</c:v>
                </c:pt>
                <c:pt idx="64">
                  <c:v>99.8</c:v>
                </c:pt>
                <c:pt idx="65">
                  <c:v>99.7</c:v>
                </c:pt>
                <c:pt idx="66">
                  <c:v>99</c:v>
                </c:pt>
                <c:pt idx="67">
                  <c:v>99.5</c:v>
                </c:pt>
                <c:pt idx="68">
                  <c:v>102.4</c:v>
                </c:pt>
                <c:pt idx="69">
                  <c:v>104.9</c:v>
                </c:pt>
                <c:pt idx="70">
                  <c:v>102.1</c:v>
                </c:pt>
                <c:pt idx="71">
                  <c:v>102.2</c:v>
                </c:pt>
                <c:pt idx="72">
                  <c:v>97.2</c:v>
                </c:pt>
                <c:pt idx="73">
                  <c:v>95.7</c:v>
                </c:pt>
                <c:pt idx="74">
                  <c:v>97.2</c:v>
                </c:pt>
                <c:pt idx="75">
                  <c:v>99.6</c:v>
                </c:pt>
                <c:pt idx="76">
                  <c:v>101.9</c:v>
                </c:pt>
                <c:pt idx="77">
                  <c:v>102.7</c:v>
                </c:pt>
                <c:pt idx="78">
                  <c:v>100.6</c:v>
                </c:pt>
                <c:pt idx="79">
                  <c:v>100.8</c:v>
                </c:pt>
                <c:pt idx="80">
                  <c:v>103</c:v>
                </c:pt>
                <c:pt idx="81">
                  <c:v>104.6</c:v>
                </c:pt>
                <c:pt idx="82">
                  <c:v>105.7</c:v>
                </c:pt>
                <c:pt idx="83">
                  <c:v>106.4</c:v>
                </c:pt>
                <c:pt idx="84">
                  <c:v>103.3</c:v>
                </c:pt>
                <c:pt idx="85">
                  <c:v>104.2</c:v>
                </c:pt>
                <c:pt idx="86">
                  <c:v>106.8</c:v>
                </c:pt>
                <c:pt idx="87">
                  <c:v>107.9</c:v>
                </c:pt>
                <c:pt idx="88">
                  <c:v>109</c:v>
                </c:pt>
                <c:pt idx="89">
                  <c:v>109.1</c:v>
                </c:pt>
                <c:pt idx="90">
                  <c:v>107.3</c:v>
                </c:pt>
                <c:pt idx="91">
                  <c:v>108.5</c:v>
                </c:pt>
                <c:pt idx="92">
                  <c:v>111.7</c:v>
                </c:pt>
                <c:pt idx="93">
                  <c:v>113.5</c:v>
                </c:pt>
                <c:pt idx="94">
                  <c:v>113.6</c:v>
                </c:pt>
                <c:pt idx="95">
                  <c:v>113.3</c:v>
                </c:pt>
                <c:pt idx="96">
                  <c:v>109.8</c:v>
                </c:pt>
                <c:pt idx="97">
                  <c:v>112.6</c:v>
                </c:pt>
                <c:pt idx="98">
                  <c:v>114.4</c:v>
                </c:pt>
                <c:pt idx="99">
                  <c:v>115.2</c:v>
                </c:pt>
                <c:pt idx="100">
                  <c:v>116.7</c:v>
                </c:pt>
                <c:pt idx="101">
                  <c:v>116.9</c:v>
                </c:pt>
                <c:pt idx="102">
                  <c:v>114.4</c:v>
                </c:pt>
                <c:pt idx="103">
                  <c:v>116.1</c:v>
                </c:pt>
                <c:pt idx="104">
                  <c:v>119.5</c:v>
                </c:pt>
                <c:pt idx="105">
                  <c:v>120.5</c:v>
                </c:pt>
                <c:pt idx="106">
                  <c:v>120.1</c:v>
                </c:pt>
                <c:pt idx="107">
                  <c:v>120.6</c:v>
                </c:pt>
                <c:pt idx="108">
                  <c:v>115.9</c:v>
                </c:pt>
                <c:pt idx="109">
                  <c:v>118.3</c:v>
                </c:pt>
                <c:pt idx="110">
                  <c:v>119</c:v>
                </c:pt>
                <c:pt idx="111">
                  <c:v>119.5</c:v>
                </c:pt>
                <c:pt idx="112">
                  <c:v>120.2</c:v>
                </c:pt>
                <c:pt idx="113">
                  <c:v>118.8</c:v>
                </c:pt>
                <c:pt idx="114">
                  <c:v>116.8</c:v>
                </c:pt>
                <c:pt idx="115">
                  <c:v>118</c:v>
                </c:pt>
                <c:pt idx="116">
                  <c:v>120.5</c:v>
                </c:pt>
                <c:pt idx="117">
                  <c:v>121.8</c:v>
                </c:pt>
                <c:pt idx="118">
                  <c:v>122.6</c:v>
                </c:pt>
                <c:pt idx="119">
                  <c:v>121.9</c:v>
                </c:pt>
                <c:pt idx="120">
                  <c:v>117.9</c:v>
                </c:pt>
                <c:pt idx="121">
                  <c:v>117.6</c:v>
                </c:pt>
                <c:pt idx="122">
                  <c:v>120.3</c:v>
                </c:pt>
                <c:pt idx="123">
                  <c:v>118.9</c:v>
                </c:pt>
                <c:pt idx="124">
                  <c:v>119.8</c:v>
                </c:pt>
                <c:pt idx="125">
                  <c:v>119.4</c:v>
                </c:pt>
                <c:pt idx="126">
                  <c:v>117.1</c:v>
                </c:pt>
                <c:pt idx="127">
                  <c:v>118.2</c:v>
                </c:pt>
                <c:pt idx="128">
                  <c:v>121</c:v>
                </c:pt>
                <c:pt idx="129">
                  <c:v>122.2</c:v>
                </c:pt>
                <c:pt idx="130">
                  <c:v>121.8</c:v>
                </c:pt>
                <c:pt idx="131">
                  <c:v>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9-9044-87F2-6B496426B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025024"/>
        <c:axId val="234058880"/>
      </c:lineChart>
      <c:catAx>
        <c:axId val="23902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58880"/>
        <c:crosses val="autoZero"/>
        <c:auto val="1"/>
        <c:lblAlgn val="ctr"/>
        <c:lblOffset val="100"/>
        <c:noMultiLvlLbl val="0"/>
      </c:catAx>
      <c:valAx>
        <c:axId val="2340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Clothing_CPI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Google Trends Search Interest for Clothing-Related Terms (2015–2025)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Chart3!$B$1</c:f>
              <c:strCache>
                <c:ptCount val="1"/>
                <c:pt idx="0">
                  <c:v>Winter_Coats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Chart3!$A$2:$A$133</c:f>
              <c:strCache>
                <c:ptCount val="132"/>
                <c:pt idx="0">
                  <c:v>2015 JAN</c:v>
                </c:pt>
                <c:pt idx="1">
                  <c:v>2015 FEB</c:v>
                </c:pt>
                <c:pt idx="2">
                  <c:v>2015 MAR</c:v>
                </c:pt>
                <c:pt idx="3">
                  <c:v>2015 APR</c:v>
                </c:pt>
                <c:pt idx="4">
                  <c:v>2015 MAY</c:v>
                </c:pt>
                <c:pt idx="5">
                  <c:v>2015 JUN</c:v>
                </c:pt>
                <c:pt idx="6">
                  <c:v>2015 JUL</c:v>
                </c:pt>
                <c:pt idx="7">
                  <c:v>2015 AUG</c:v>
                </c:pt>
                <c:pt idx="8">
                  <c:v>2015 SEP</c:v>
                </c:pt>
                <c:pt idx="9">
                  <c:v>2015 OCT</c:v>
                </c:pt>
                <c:pt idx="10">
                  <c:v>2015 NOV</c:v>
                </c:pt>
                <c:pt idx="11">
                  <c:v>2015 DEC</c:v>
                </c:pt>
                <c:pt idx="12">
                  <c:v>2016 JAN</c:v>
                </c:pt>
                <c:pt idx="13">
                  <c:v>2016 FEB</c:v>
                </c:pt>
                <c:pt idx="14">
                  <c:v>2016 MAR</c:v>
                </c:pt>
                <c:pt idx="15">
                  <c:v>2016 APR</c:v>
                </c:pt>
                <c:pt idx="16">
                  <c:v>2016 MAY</c:v>
                </c:pt>
                <c:pt idx="17">
                  <c:v>2016 JUN</c:v>
                </c:pt>
                <c:pt idx="18">
                  <c:v>2016 JUL</c:v>
                </c:pt>
                <c:pt idx="19">
                  <c:v>2016 AUG</c:v>
                </c:pt>
                <c:pt idx="20">
                  <c:v>2016 SEP</c:v>
                </c:pt>
                <c:pt idx="21">
                  <c:v>2016 OCT</c:v>
                </c:pt>
                <c:pt idx="22">
                  <c:v>2016 NOV</c:v>
                </c:pt>
                <c:pt idx="23">
                  <c:v>2016 DEC</c:v>
                </c:pt>
                <c:pt idx="24">
                  <c:v>2017 JAN</c:v>
                </c:pt>
                <c:pt idx="25">
                  <c:v>2017 FEB</c:v>
                </c:pt>
                <c:pt idx="26">
                  <c:v>2017 MAR</c:v>
                </c:pt>
                <c:pt idx="27">
                  <c:v>2017 APR</c:v>
                </c:pt>
                <c:pt idx="28">
                  <c:v>2017 MAY</c:v>
                </c:pt>
                <c:pt idx="29">
                  <c:v>2017 JUN</c:v>
                </c:pt>
                <c:pt idx="30">
                  <c:v>2017 JUL</c:v>
                </c:pt>
                <c:pt idx="31">
                  <c:v>2017 AUG</c:v>
                </c:pt>
                <c:pt idx="32">
                  <c:v>2017 SEP</c:v>
                </c:pt>
                <c:pt idx="33">
                  <c:v>2017 OCT</c:v>
                </c:pt>
                <c:pt idx="34">
                  <c:v>2017 NOV</c:v>
                </c:pt>
                <c:pt idx="35">
                  <c:v>2017 DEC</c:v>
                </c:pt>
                <c:pt idx="36">
                  <c:v>2018 JAN</c:v>
                </c:pt>
                <c:pt idx="37">
                  <c:v>2018 FEB</c:v>
                </c:pt>
                <c:pt idx="38">
                  <c:v>2018 MAR</c:v>
                </c:pt>
                <c:pt idx="39">
                  <c:v>2018 APR</c:v>
                </c:pt>
                <c:pt idx="40">
                  <c:v>2018 MAY</c:v>
                </c:pt>
                <c:pt idx="41">
                  <c:v>2018 JUN</c:v>
                </c:pt>
                <c:pt idx="42">
                  <c:v>2018 JUL</c:v>
                </c:pt>
                <c:pt idx="43">
                  <c:v>2018 AUG</c:v>
                </c:pt>
                <c:pt idx="44">
                  <c:v>2018 SEP</c:v>
                </c:pt>
                <c:pt idx="45">
                  <c:v>2018 OCT</c:v>
                </c:pt>
                <c:pt idx="46">
                  <c:v>2018 NOV</c:v>
                </c:pt>
                <c:pt idx="47">
                  <c:v>2018 DEC</c:v>
                </c:pt>
                <c:pt idx="48">
                  <c:v>2019 JAN</c:v>
                </c:pt>
                <c:pt idx="49">
                  <c:v>2019 FEB</c:v>
                </c:pt>
                <c:pt idx="50">
                  <c:v>2019 MAR</c:v>
                </c:pt>
                <c:pt idx="51">
                  <c:v>2019 APR</c:v>
                </c:pt>
                <c:pt idx="52">
                  <c:v>2019 MAY</c:v>
                </c:pt>
                <c:pt idx="53">
                  <c:v>2019 JUN</c:v>
                </c:pt>
                <c:pt idx="54">
                  <c:v>2019 JUL</c:v>
                </c:pt>
                <c:pt idx="55">
                  <c:v>2019 AUG</c:v>
                </c:pt>
                <c:pt idx="56">
                  <c:v>2019 SEP</c:v>
                </c:pt>
                <c:pt idx="57">
                  <c:v>2019 OCT</c:v>
                </c:pt>
                <c:pt idx="58">
                  <c:v>2019 NOV</c:v>
                </c:pt>
                <c:pt idx="59">
                  <c:v>2019 DEC</c:v>
                </c:pt>
                <c:pt idx="60">
                  <c:v>2020 JAN</c:v>
                </c:pt>
                <c:pt idx="61">
                  <c:v>2020 FEB</c:v>
                </c:pt>
                <c:pt idx="62">
                  <c:v>2020 MAR</c:v>
                </c:pt>
                <c:pt idx="63">
                  <c:v>2020 APR</c:v>
                </c:pt>
                <c:pt idx="64">
                  <c:v>2020 MAY</c:v>
                </c:pt>
                <c:pt idx="65">
                  <c:v>2020 JUN</c:v>
                </c:pt>
                <c:pt idx="66">
                  <c:v>2020 JUL</c:v>
                </c:pt>
                <c:pt idx="67">
                  <c:v>2020 AUG</c:v>
                </c:pt>
                <c:pt idx="68">
                  <c:v>2020 SEP</c:v>
                </c:pt>
                <c:pt idx="69">
                  <c:v>2020 OCT</c:v>
                </c:pt>
                <c:pt idx="70">
                  <c:v>2020 NOV</c:v>
                </c:pt>
                <c:pt idx="71">
                  <c:v>2020 DEC</c:v>
                </c:pt>
                <c:pt idx="72">
                  <c:v>2021 JAN</c:v>
                </c:pt>
                <c:pt idx="73">
                  <c:v>2021 FEB</c:v>
                </c:pt>
                <c:pt idx="74">
                  <c:v>2021 MAR</c:v>
                </c:pt>
                <c:pt idx="75">
                  <c:v>2021 APR</c:v>
                </c:pt>
                <c:pt idx="76">
                  <c:v>2021 MAY</c:v>
                </c:pt>
                <c:pt idx="77">
                  <c:v>2021 JUN</c:v>
                </c:pt>
                <c:pt idx="78">
                  <c:v>2021 JUL</c:v>
                </c:pt>
                <c:pt idx="79">
                  <c:v>2021 AUG</c:v>
                </c:pt>
                <c:pt idx="80">
                  <c:v>2021 SEP</c:v>
                </c:pt>
                <c:pt idx="81">
                  <c:v>2021 OCT</c:v>
                </c:pt>
                <c:pt idx="82">
                  <c:v>2021 NOV</c:v>
                </c:pt>
                <c:pt idx="83">
                  <c:v>2021 DEC</c:v>
                </c:pt>
                <c:pt idx="84">
                  <c:v>2022 JAN</c:v>
                </c:pt>
                <c:pt idx="85">
                  <c:v>2022 FEB</c:v>
                </c:pt>
                <c:pt idx="86">
                  <c:v>2022 MAR</c:v>
                </c:pt>
                <c:pt idx="87">
                  <c:v>2022 APR</c:v>
                </c:pt>
                <c:pt idx="88">
                  <c:v>2022 MAY</c:v>
                </c:pt>
                <c:pt idx="89">
                  <c:v>2022 JUN</c:v>
                </c:pt>
                <c:pt idx="90">
                  <c:v>2022 JUL</c:v>
                </c:pt>
                <c:pt idx="91">
                  <c:v>2022 AUG</c:v>
                </c:pt>
                <c:pt idx="92">
                  <c:v>2022 SEP</c:v>
                </c:pt>
                <c:pt idx="93">
                  <c:v>2022 OCT</c:v>
                </c:pt>
                <c:pt idx="94">
                  <c:v>2022 NOV</c:v>
                </c:pt>
                <c:pt idx="95">
                  <c:v>2022 DEC</c:v>
                </c:pt>
                <c:pt idx="96">
                  <c:v>2023 JAN</c:v>
                </c:pt>
                <c:pt idx="97">
                  <c:v>2023 FEB</c:v>
                </c:pt>
                <c:pt idx="98">
                  <c:v>2023 MAR</c:v>
                </c:pt>
                <c:pt idx="99">
                  <c:v>2023 APR</c:v>
                </c:pt>
                <c:pt idx="100">
                  <c:v>2023 MAY</c:v>
                </c:pt>
                <c:pt idx="101">
                  <c:v>2023 JUN</c:v>
                </c:pt>
                <c:pt idx="102">
                  <c:v>2023 JUL</c:v>
                </c:pt>
                <c:pt idx="103">
                  <c:v>2023 AUG</c:v>
                </c:pt>
                <c:pt idx="104">
                  <c:v>2023 SEP</c:v>
                </c:pt>
                <c:pt idx="105">
                  <c:v>2023 OCT</c:v>
                </c:pt>
                <c:pt idx="106">
                  <c:v>2023 NOV</c:v>
                </c:pt>
                <c:pt idx="107">
                  <c:v>2023 DEC</c:v>
                </c:pt>
                <c:pt idx="108">
                  <c:v>2024 JAN</c:v>
                </c:pt>
                <c:pt idx="109">
                  <c:v>2024 FEB</c:v>
                </c:pt>
                <c:pt idx="110">
                  <c:v>2024 MAR</c:v>
                </c:pt>
                <c:pt idx="111">
                  <c:v>2024 APR</c:v>
                </c:pt>
                <c:pt idx="112">
                  <c:v>2024 MAY</c:v>
                </c:pt>
                <c:pt idx="113">
                  <c:v>2024 JUN</c:v>
                </c:pt>
                <c:pt idx="114">
                  <c:v>2024 JUL</c:v>
                </c:pt>
                <c:pt idx="115">
                  <c:v>2024 AUG</c:v>
                </c:pt>
                <c:pt idx="116">
                  <c:v>2024 SEP</c:v>
                </c:pt>
                <c:pt idx="117">
                  <c:v>2024 OCT</c:v>
                </c:pt>
                <c:pt idx="118">
                  <c:v>2024 NOV</c:v>
                </c:pt>
                <c:pt idx="119">
                  <c:v>2024 DEC</c:v>
                </c:pt>
                <c:pt idx="120">
                  <c:v>2025 JAN</c:v>
                </c:pt>
                <c:pt idx="121">
                  <c:v>2025 FEB</c:v>
                </c:pt>
                <c:pt idx="122">
                  <c:v>2025 MAR</c:v>
                </c:pt>
                <c:pt idx="123">
                  <c:v>2025 APR</c:v>
                </c:pt>
                <c:pt idx="124">
                  <c:v>2025 MAY</c:v>
                </c:pt>
                <c:pt idx="125">
                  <c:v>2025 JUN</c:v>
                </c:pt>
                <c:pt idx="126">
                  <c:v>2025 JUL</c:v>
                </c:pt>
                <c:pt idx="127">
                  <c:v>2025 AUG</c:v>
                </c:pt>
                <c:pt idx="128">
                  <c:v>2025 SEP</c:v>
                </c:pt>
                <c:pt idx="129">
                  <c:v>2025 OCT</c:v>
                </c:pt>
                <c:pt idx="130">
                  <c:v>2025 NOV</c:v>
                </c:pt>
                <c:pt idx="131">
                  <c:v>2025 DEC</c:v>
                </c:pt>
              </c:strCache>
            </c:strRef>
          </c:cat>
          <c:val>
            <c:numRef>
              <c:f>Chart3!$B$2:$B$133</c:f>
              <c:numCache>
                <c:formatCode>General</c:formatCode>
                <c:ptCount val="132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17</c:v>
                </c:pt>
                <c:pt idx="9">
                  <c:v>23</c:v>
                </c:pt>
                <c:pt idx="10">
                  <c:v>20</c:v>
                </c:pt>
                <c:pt idx="11">
                  <c:v>9</c:v>
                </c:pt>
                <c:pt idx="12">
                  <c:v>9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7</c:v>
                </c:pt>
                <c:pt idx="20">
                  <c:v>16</c:v>
                </c:pt>
                <c:pt idx="21">
                  <c:v>29</c:v>
                </c:pt>
                <c:pt idx="22">
                  <c:v>33</c:v>
                </c:pt>
                <c:pt idx="23">
                  <c:v>13</c:v>
                </c:pt>
                <c:pt idx="24">
                  <c:v>10</c:v>
                </c:pt>
                <c:pt idx="25">
                  <c:v>5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9</c:v>
                </c:pt>
                <c:pt idx="32">
                  <c:v>27</c:v>
                </c:pt>
                <c:pt idx="33">
                  <c:v>24</c:v>
                </c:pt>
                <c:pt idx="34">
                  <c:v>29</c:v>
                </c:pt>
                <c:pt idx="35">
                  <c:v>19</c:v>
                </c:pt>
                <c:pt idx="36">
                  <c:v>9</c:v>
                </c:pt>
                <c:pt idx="37">
                  <c:v>8</c:v>
                </c:pt>
                <c:pt idx="38">
                  <c:v>6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12</c:v>
                </c:pt>
                <c:pt idx="44">
                  <c:v>25</c:v>
                </c:pt>
                <c:pt idx="45">
                  <c:v>27</c:v>
                </c:pt>
                <c:pt idx="46">
                  <c:v>25</c:v>
                </c:pt>
                <c:pt idx="47">
                  <c:v>14</c:v>
                </c:pt>
                <c:pt idx="48">
                  <c:v>12</c:v>
                </c:pt>
                <c:pt idx="49">
                  <c:v>5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7</c:v>
                </c:pt>
                <c:pt idx="56">
                  <c:v>19</c:v>
                </c:pt>
                <c:pt idx="57">
                  <c:v>26</c:v>
                </c:pt>
                <c:pt idx="58">
                  <c:v>24</c:v>
                </c:pt>
                <c:pt idx="59">
                  <c:v>12</c:v>
                </c:pt>
                <c:pt idx="60">
                  <c:v>7</c:v>
                </c:pt>
                <c:pt idx="61">
                  <c:v>6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9</c:v>
                </c:pt>
                <c:pt idx="68">
                  <c:v>20</c:v>
                </c:pt>
                <c:pt idx="69">
                  <c:v>25</c:v>
                </c:pt>
                <c:pt idx="70">
                  <c:v>19</c:v>
                </c:pt>
                <c:pt idx="71">
                  <c:v>15</c:v>
                </c:pt>
                <c:pt idx="72">
                  <c:v>11</c:v>
                </c:pt>
                <c:pt idx="73">
                  <c:v>7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9</c:v>
                </c:pt>
                <c:pt idx="80">
                  <c:v>17</c:v>
                </c:pt>
                <c:pt idx="81">
                  <c:v>26</c:v>
                </c:pt>
                <c:pt idx="82">
                  <c:v>27</c:v>
                </c:pt>
                <c:pt idx="83">
                  <c:v>16</c:v>
                </c:pt>
                <c:pt idx="84">
                  <c:v>9</c:v>
                </c:pt>
                <c:pt idx="85">
                  <c:v>5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7</c:v>
                </c:pt>
                <c:pt idx="92">
                  <c:v>20</c:v>
                </c:pt>
                <c:pt idx="93">
                  <c:v>17</c:v>
                </c:pt>
                <c:pt idx="94">
                  <c:v>18</c:v>
                </c:pt>
                <c:pt idx="95">
                  <c:v>19</c:v>
                </c:pt>
                <c:pt idx="96">
                  <c:v>8</c:v>
                </c:pt>
                <c:pt idx="97">
                  <c:v>4</c:v>
                </c:pt>
                <c:pt idx="98">
                  <c:v>4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3</c:v>
                </c:pt>
                <c:pt idx="103">
                  <c:v>6</c:v>
                </c:pt>
                <c:pt idx="104">
                  <c:v>12</c:v>
                </c:pt>
                <c:pt idx="105">
                  <c:v>17</c:v>
                </c:pt>
                <c:pt idx="106">
                  <c:v>20</c:v>
                </c:pt>
                <c:pt idx="107">
                  <c:v>12</c:v>
                </c:pt>
                <c:pt idx="108">
                  <c:v>9</c:v>
                </c:pt>
                <c:pt idx="109">
                  <c:v>3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6</c:v>
                </c:pt>
                <c:pt idx="116">
                  <c:v>18</c:v>
                </c:pt>
                <c:pt idx="117">
                  <c:v>15</c:v>
                </c:pt>
                <c:pt idx="118">
                  <c:v>18</c:v>
                </c:pt>
                <c:pt idx="119">
                  <c:v>10</c:v>
                </c:pt>
                <c:pt idx="120">
                  <c:v>8</c:v>
                </c:pt>
                <c:pt idx="121">
                  <c:v>4</c:v>
                </c:pt>
                <c:pt idx="122">
                  <c:v>2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2</c:v>
                </c:pt>
                <c:pt idx="127">
                  <c:v>6</c:v>
                </c:pt>
                <c:pt idx="128">
                  <c:v>14</c:v>
                </c:pt>
                <c:pt idx="129">
                  <c:v>13</c:v>
                </c:pt>
                <c:pt idx="130">
                  <c:v>16</c:v>
                </c:pt>
                <c:pt idx="13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6-0449-8357-3EFA4365326A}"/>
            </c:ext>
          </c:extLst>
        </c:ser>
        <c:ser>
          <c:idx val="1"/>
          <c:order val="1"/>
          <c:tx>
            <c:strRef>
              <c:f>Chart3!$C$1</c:f>
              <c:strCache>
                <c:ptCount val="1"/>
                <c:pt idx="0">
                  <c:v>Summer_Dresses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Chart3!$A$2:$A$133</c:f>
              <c:strCache>
                <c:ptCount val="132"/>
                <c:pt idx="0">
                  <c:v>2015 JAN</c:v>
                </c:pt>
                <c:pt idx="1">
                  <c:v>2015 FEB</c:v>
                </c:pt>
                <c:pt idx="2">
                  <c:v>2015 MAR</c:v>
                </c:pt>
                <c:pt idx="3">
                  <c:v>2015 APR</c:v>
                </c:pt>
                <c:pt idx="4">
                  <c:v>2015 MAY</c:v>
                </c:pt>
                <c:pt idx="5">
                  <c:v>2015 JUN</c:v>
                </c:pt>
                <c:pt idx="6">
                  <c:v>2015 JUL</c:v>
                </c:pt>
                <c:pt idx="7">
                  <c:v>2015 AUG</c:v>
                </c:pt>
                <c:pt idx="8">
                  <c:v>2015 SEP</c:v>
                </c:pt>
                <c:pt idx="9">
                  <c:v>2015 OCT</c:v>
                </c:pt>
                <c:pt idx="10">
                  <c:v>2015 NOV</c:v>
                </c:pt>
                <c:pt idx="11">
                  <c:v>2015 DEC</c:v>
                </c:pt>
                <c:pt idx="12">
                  <c:v>2016 JAN</c:v>
                </c:pt>
                <c:pt idx="13">
                  <c:v>2016 FEB</c:v>
                </c:pt>
                <c:pt idx="14">
                  <c:v>2016 MAR</c:v>
                </c:pt>
                <c:pt idx="15">
                  <c:v>2016 APR</c:v>
                </c:pt>
                <c:pt idx="16">
                  <c:v>2016 MAY</c:v>
                </c:pt>
                <c:pt idx="17">
                  <c:v>2016 JUN</c:v>
                </c:pt>
                <c:pt idx="18">
                  <c:v>2016 JUL</c:v>
                </c:pt>
                <c:pt idx="19">
                  <c:v>2016 AUG</c:v>
                </c:pt>
                <c:pt idx="20">
                  <c:v>2016 SEP</c:v>
                </c:pt>
                <c:pt idx="21">
                  <c:v>2016 OCT</c:v>
                </c:pt>
                <c:pt idx="22">
                  <c:v>2016 NOV</c:v>
                </c:pt>
                <c:pt idx="23">
                  <c:v>2016 DEC</c:v>
                </c:pt>
                <c:pt idx="24">
                  <c:v>2017 JAN</c:v>
                </c:pt>
                <c:pt idx="25">
                  <c:v>2017 FEB</c:v>
                </c:pt>
                <c:pt idx="26">
                  <c:v>2017 MAR</c:v>
                </c:pt>
                <c:pt idx="27">
                  <c:v>2017 APR</c:v>
                </c:pt>
                <c:pt idx="28">
                  <c:v>2017 MAY</c:v>
                </c:pt>
                <c:pt idx="29">
                  <c:v>2017 JUN</c:v>
                </c:pt>
                <c:pt idx="30">
                  <c:v>2017 JUL</c:v>
                </c:pt>
                <c:pt idx="31">
                  <c:v>2017 AUG</c:v>
                </c:pt>
                <c:pt idx="32">
                  <c:v>2017 SEP</c:v>
                </c:pt>
                <c:pt idx="33">
                  <c:v>2017 OCT</c:v>
                </c:pt>
                <c:pt idx="34">
                  <c:v>2017 NOV</c:v>
                </c:pt>
                <c:pt idx="35">
                  <c:v>2017 DEC</c:v>
                </c:pt>
                <c:pt idx="36">
                  <c:v>2018 JAN</c:v>
                </c:pt>
                <c:pt idx="37">
                  <c:v>2018 FEB</c:v>
                </c:pt>
                <c:pt idx="38">
                  <c:v>2018 MAR</c:v>
                </c:pt>
                <c:pt idx="39">
                  <c:v>2018 APR</c:v>
                </c:pt>
                <c:pt idx="40">
                  <c:v>2018 MAY</c:v>
                </c:pt>
                <c:pt idx="41">
                  <c:v>2018 JUN</c:v>
                </c:pt>
                <c:pt idx="42">
                  <c:v>2018 JUL</c:v>
                </c:pt>
                <c:pt idx="43">
                  <c:v>2018 AUG</c:v>
                </c:pt>
                <c:pt idx="44">
                  <c:v>2018 SEP</c:v>
                </c:pt>
                <c:pt idx="45">
                  <c:v>2018 OCT</c:v>
                </c:pt>
                <c:pt idx="46">
                  <c:v>2018 NOV</c:v>
                </c:pt>
                <c:pt idx="47">
                  <c:v>2018 DEC</c:v>
                </c:pt>
                <c:pt idx="48">
                  <c:v>2019 JAN</c:v>
                </c:pt>
                <c:pt idx="49">
                  <c:v>2019 FEB</c:v>
                </c:pt>
                <c:pt idx="50">
                  <c:v>2019 MAR</c:v>
                </c:pt>
                <c:pt idx="51">
                  <c:v>2019 APR</c:v>
                </c:pt>
                <c:pt idx="52">
                  <c:v>2019 MAY</c:v>
                </c:pt>
                <c:pt idx="53">
                  <c:v>2019 JUN</c:v>
                </c:pt>
                <c:pt idx="54">
                  <c:v>2019 JUL</c:v>
                </c:pt>
                <c:pt idx="55">
                  <c:v>2019 AUG</c:v>
                </c:pt>
                <c:pt idx="56">
                  <c:v>2019 SEP</c:v>
                </c:pt>
                <c:pt idx="57">
                  <c:v>2019 OCT</c:v>
                </c:pt>
                <c:pt idx="58">
                  <c:v>2019 NOV</c:v>
                </c:pt>
                <c:pt idx="59">
                  <c:v>2019 DEC</c:v>
                </c:pt>
                <c:pt idx="60">
                  <c:v>2020 JAN</c:v>
                </c:pt>
                <c:pt idx="61">
                  <c:v>2020 FEB</c:v>
                </c:pt>
                <c:pt idx="62">
                  <c:v>2020 MAR</c:v>
                </c:pt>
                <c:pt idx="63">
                  <c:v>2020 APR</c:v>
                </c:pt>
                <c:pt idx="64">
                  <c:v>2020 MAY</c:v>
                </c:pt>
                <c:pt idx="65">
                  <c:v>2020 JUN</c:v>
                </c:pt>
                <c:pt idx="66">
                  <c:v>2020 JUL</c:v>
                </c:pt>
                <c:pt idx="67">
                  <c:v>2020 AUG</c:v>
                </c:pt>
                <c:pt idx="68">
                  <c:v>2020 SEP</c:v>
                </c:pt>
                <c:pt idx="69">
                  <c:v>2020 OCT</c:v>
                </c:pt>
                <c:pt idx="70">
                  <c:v>2020 NOV</c:v>
                </c:pt>
                <c:pt idx="71">
                  <c:v>2020 DEC</c:v>
                </c:pt>
                <c:pt idx="72">
                  <c:v>2021 JAN</c:v>
                </c:pt>
                <c:pt idx="73">
                  <c:v>2021 FEB</c:v>
                </c:pt>
                <c:pt idx="74">
                  <c:v>2021 MAR</c:v>
                </c:pt>
                <c:pt idx="75">
                  <c:v>2021 APR</c:v>
                </c:pt>
                <c:pt idx="76">
                  <c:v>2021 MAY</c:v>
                </c:pt>
                <c:pt idx="77">
                  <c:v>2021 JUN</c:v>
                </c:pt>
                <c:pt idx="78">
                  <c:v>2021 JUL</c:v>
                </c:pt>
                <c:pt idx="79">
                  <c:v>2021 AUG</c:v>
                </c:pt>
                <c:pt idx="80">
                  <c:v>2021 SEP</c:v>
                </c:pt>
                <c:pt idx="81">
                  <c:v>2021 OCT</c:v>
                </c:pt>
                <c:pt idx="82">
                  <c:v>2021 NOV</c:v>
                </c:pt>
                <c:pt idx="83">
                  <c:v>2021 DEC</c:v>
                </c:pt>
                <c:pt idx="84">
                  <c:v>2022 JAN</c:v>
                </c:pt>
                <c:pt idx="85">
                  <c:v>2022 FEB</c:v>
                </c:pt>
                <c:pt idx="86">
                  <c:v>2022 MAR</c:v>
                </c:pt>
                <c:pt idx="87">
                  <c:v>2022 APR</c:v>
                </c:pt>
                <c:pt idx="88">
                  <c:v>2022 MAY</c:v>
                </c:pt>
                <c:pt idx="89">
                  <c:v>2022 JUN</c:v>
                </c:pt>
                <c:pt idx="90">
                  <c:v>2022 JUL</c:v>
                </c:pt>
                <c:pt idx="91">
                  <c:v>2022 AUG</c:v>
                </c:pt>
                <c:pt idx="92">
                  <c:v>2022 SEP</c:v>
                </c:pt>
                <c:pt idx="93">
                  <c:v>2022 OCT</c:v>
                </c:pt>
                <c:pt idx="94">
                  <c:v>2022 NOV</c:v>
                </c:pt>
                <c:pt idx="95">
                  <c:v>2022 DEC</c:v>
                </c:pt>
                <c:pt idx="96">
                  <c:v>2023 JAN</c:v>
                </c:pt>
                <c:pt idx="97">
                  <c:v>2023 FEB</c:v>
                </c:pt>
                <c:pt idx="98">
                  <c:v>2023 MAR</c:v>
                </c:pt>
                <c:pt idx="99">
                  <c:v>2023 APR</c:v>
                </c:pt>
                <c:pt idx="100">
                  <c:v>2023 MAY</c:v>
                </c:pt>
                <c:pt idx="101">
                  <c:v>2023 JUN</c:v>
                </c:pt>
                <c:pt idx="102">
                  <c:v>2023 JUL</c:v>
                </c:pt>
                <c:pt idx="103">
                  <c:v>2023 AUG</c:v>
                </c:pt>
                <c:pt idx="104">
                  <c:v>2023 SEP</c:v>
                </c:pt>
                <c:pt idx="105">
                  <c:v>2023 OCT</c:v>
                </c:pt>
                <c:pt idx="106">
                  <c:v>2023 NOV</c:v>
                </c:pt>
                <c:pt idx="107">
                  <c:v>2023 DEC</c:v>
                </c:pt>
                <c:pt idx="108">
                  <c:v>2024 JAN</c:v>
                </c:pt>
                <c:pt idx="109">
                  <c:v>2024 FEB</c:v>
                </c:pt>
                <c:pt idx="110">
                  <c:v>2024 MAR</c:v>
                </c:pt>
                <c:pt idx="111">
                  <c:v>2024 APR</c:v>
                </c:pt>
                <c:pt idx="112">
                  <c:v>2024 MAY</c:v>
                </c:pt>
                <c:pt idx="113">
                  <c:v>2024 JUN</c:v>
                </c:pt>
                <c:pt idx="114">
                  <c:v>2024 JUL</c:v>
                </c:pt>
                <c:pt idx="115">
                  <c:v>2024 AUG</c:v>
                </c:pt>
                <c:pt idx="116">
                  <c:v>2024 SEP</c:v>
                </c:pt>
                <c:pt idx="117">
                  <c:v>2024 OCT</c:v>
                </c:pt>
                <c:pt idx="118">
                  <c:v>2024 NOV</c:v>
                </c:pt>
                <c:pt idx="119">
                  <c:v>2024 DEC</c:v>
                </c:pt>
                <c:pt idx="120">
                  <c:v>2025 JAN</c:v>
                </c:pt>
                <c:pt idx="121">
                  <c:v>2025 FEB</c:v>
                </c:pt>
                <c:pt idx="122">
                  <c:v>2025 MAR</c:v>
                </c:pt>
                <c:pt idx="123">
                  <c:v>2025 APR</c:v>
                </c:pt>
                <c:pt idx="124">
                  <c:v>2025 MAY</c:v>
                </c:pt>
                <c:pt idx="125">
                  <c:v>2025 JUN</c:v>
                </c:pt>
                <c:pt idx="126">
                  <c:v>2025 JUL</c:v>
                </c:pt>
                <c:pt idx="127">
                  <c:v>2025 AUG</c:v>
                </c:pt>
                <c:pt idx="128">
                  <c:v>2025 SEP</c:v>
                </c:pt>
                <c:pt idx="129">
                  <c:v>2025 OCT</c:v>
                </c:pt>
                <c:pt idx="130">
                  <c:v>2025 NOV</c:v>
                </c:pt>
                <c:pt idx="131">
                  <c:v>2025 DEC</c:v>
                </c:pt>
              </c:strCache>
            </c:strRef>
          </c:cat>
          <c:val>
            <c:numRef>
              <c:f>Chart3!$C$2:$C$133</c:f>
              <c:numCache>
                <c:formatCode>General</c:formatCode>
                <c:ptCount val="132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15</c:v>
                </c:pt>
                <c:pt idx="4">
                  <c:v>13</c:v>
                </c:pt>
                <c:pt idx="5">
                  <c:v>16</c:v>
                </c:pt>
                <c:pt idx="6">
                  <c:v>13</c:v>
                </c:pt>
                <c:pt idx="7">
                  <c:v>7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7</c:v>
                </c:pt>
                <c:pt idx="13">
                  <c:v>10</c:v>
                </c:pt>
                <c:pt idx="14">
                  <c:v>11</c:v>
                </c:pt>
                <c:pt idx="15">
                  <c:v>15</c:v>
                </c:pt>
                <c:pt idx="16">
                  <c:v>21</c:v>
                </c:pt>
                <c:pt idx="17">
                  <c:v>15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9</c:v>
                </c:pt>
                <c:pt idx="25">
                  <c:v>11</c:v>
                </c:pt>
                <c:pt idx="26">
                  <c:v>15</c:v>
                </c:pt>
                <c:pt idx="27">
                  <c:v>20</c:v>
                </c:pt>
                <c:pt idx="28">
                  <c:v>26</c:v>
                </c:pt>
                <c:pt idx="29">
                  <c:v>31</c:v>
                </c:pt>
                <c:pt idx="30">
                  <c:v>19</c:v>
                </c:pt>
                <c:pt idx="31">
                  <c:v>9</c:v>
                </c:pt>
                <c:pt idx="32">
                  <c:v>5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10</c:v>
                </c:pt>
                <c:pt idx="37">
                  <c:v>11</c:v>
                </c:pt>
                <c:pt idx="38">
                  <c:v>14</c:v>
                </c:pt>
                <c:pt idx="39">
                  <c:v>27</c:v>
                </c:pt>
                <c:pt idx="40">
                  <c:v>34</c:v>
                </c:pt>
                <c:pt idx="41">
                  <c:v>33</c:v>
                </c:pt>
                <c:pt idx="42">
                  <c:v>39</c:v>
                </c:pt>
                <c:pt idx="43">
                  <c:v>13</c:v>
                </c:pt>
                <c:pt idx="44">
                  <c:v>5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10</c:v>
                </c:pt>
                <c:pt idx="49">
                  <c:v>15</c:v>
                </c:pt>
                <c:pt idx="50">
                  <c:v>16</c:v>
                </c:pt>
                <c:pt idx="51">
                  <c:v>27</c:v>
                </c:pt>
                <c:pt idx="52">
                  <c:v>25</c:v>
                </c:pt>
                <c:pt idx="53">
                  <c:v>24</c:v>
                </c:pt>
                <c:pt idx="54">
                  <c:v>28</c:v>
                </c:pt>
                <c:pt idx="55">
                  <c:v>11</c:v>
                </c:pt>
                <c:pt idx="56">
                  <c:v>5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10</c:v>
                </c:pt>
                <c:pt idx="61">
                  <c:v>11</c:v>
                </c:pt>
                <c:pt idx="62">
                  <c:v>8</c:v>
                </c:pt>
                <c:pt idx="63">
                  <c:v>16</c:v>
                </c:pt>
                <c:pt idx="64">
                  <c:v>32</c:v>
                </c:pt>
                <c:pt idx="65">
                  <c:v>27</c:v>
                </c:pt>
                <c:pt idx="66">
                  <c:v>17</c:v>
                </c:pt>
                <c:pt idx="67">
                  <c:v>17</c:v>
                </c:pt>
                <c:pt idx="68">
                  <c:v>4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6</c:v>
                </c:pt>
                <c:pt idx="73">
                  <c:v>9</c:v>
                </c:pt>
                <c:pt idx="74">
                  <c:v>18</c:v>
                </c:pt>
                <c:pt idx="75">
                  <c:v>23</c:v>
                </c:pt>
                <c:pt idx="76">
                  <c:v>20</c:v>
                </c:pt>
                <c:pt idx="77">
                  <c:v>51</c:v>
                </c:pt>
                <c:pt idx="78">
                  <c:v>36</c:v>
                </c:pt>
                <c:pt idx="79">
                  <c:v>11</c:v>
                </c:pt>
                <c:pt idx="80">
                  <c:v>7</c:v>
                </c:pt>
                <c:pt idx="81">
                  <c:v>4</c:v>
                </c:pt>
                <c:pt idx="82">
                  <c:v>4</c:v>
                </c:pt>
                <c:pt idx="83">
                  <c:v>3</c:v>
                </c:pt>
                <c:pt idx="84">
                  <c:v>11</c:v>
                </c:pt>
                <c:pt idx="85">
                  <c:v>17</c:v>
                </c:pt>
                <c:pt idx="86">
                  <c:v>28</c:v>
                </c:pt>
                <c:pt idx="87">
                  <c:v>32</c:v>
                </c:pt>
                <c:pt idx="88">
                  <c:v>39</c:v>
                </c:pt>
                <c:pt idx="89">
                  <c:v>42</c:v>
                </c:pt>
                <c:pt idx="90">
                  <c:v>48</c:v>
                </c:pt>
                <c:pt idx="91">
                  <c:v>25</c:v>
                </c:pt>
                <c:pt idx="92">
                  <c:v>6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11</c:v>
                </c:pt>
                <c:pt idx="97">
                  <c:v>14</c:v>
                </c:pt>
                <c:pt idx="98">
                  <c:v>18</c:v>
                </c:pt>
                <c:pt idx="99">
                  <c:v>26</c:v>
                </c:pt>
                <c:pt idx="100">
                  <c:v>36</c:v>
                </c:pt>
                <c:pt idx="101">
                  <c:v>53</c:v>
                </c:pt>
                <c:pt idx="102">
                  <c:v>19</c:v>
                </c:pt>
                <c:pt idx="103">
                  <c:v>10</c:v>
                </c:pt>
                <c:pt idx="104">
                  <c:v>10</c:v>
                </c:pt>
                <c:pt idx="105">
                  <c:v>4</c:v>
                </c:pt>
                <c:pt idx="106">
                  <c:v>3</c:v>
                </c:pt>
                <c:pt idx="107">
                  <c:v>4</c:v>
                </c:pt>
                <c:pt idx="108">
                  <c:v>11</c:v>
                </c:pt>
                <c:pt idx="109">
                  <c:v>13</c:v>
                </c:pt>
                <c:pt idx="110">
                  <c:v>17</c:v>
                </c:pt>
                <c:pt idx="111">
                  <c:v>22</c:v>
                </c:pt>
                <c:pt idx="112">
                  <c:v>34</c:v>
                </c:pt>
                <c:pt idx="113">
                  <c:v>29</c:v>
                </c:pt>
                <c:pt idx="114">
                  <c:v>22</c:v>
                </c:pt>
                <c:pt idx="115">
                  <c:v>13</c:v>
                </c:pt>
                <c:pt idx="116">
                  <c:v>6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9</c:v>
                </c:pt>
                <c:pt idx="121">
                  <c:v>12</c:v>
                </c:pt>
                <c:pt idx="122">
                  <c:v>17</c:v>
                </c:pt>
                <c:pt idx="123">
                  <c:v>26</c:v>
                </c:pt>
                <c:pt idx="124">
                  <c:v>29</c:v>
                </c:pt>
                <c:pt idx="125">
                  <c:v>32</c:v>
                </c:pt>
                <c:pt idx="126">
                  <c:v>27</c:v>
                </c:pt>
                <c:pt idx="127">
                  <c:v>14</c:v>
                </c:pt>
                <c:pt idx="128">
                  <c:v>6</c:v>
                </c:pt>
                <c:pt idx="129">
                  <c:v>4</c:v>
                </c:pt>
                <c:pt idx="130">
                  <c:v>4</c:v>
                </c:pt>
                <c:pt idx="13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6-0449-8357-3EFA4365326A}"/>
            </c:ext>
          </c:extLst>
        </c:ser>
        <c:ser>
          <c:idx val="2"/>
          <c:order val="2"/>
          <c:tx>
            <c:strRef>
              <c:f>Chart3!$D$1</c:f>
              <c:strCache>
                <c:ptCount val="1"/>
                <c:pt idx="0">
                  <c:v>School_Uniform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Chart3!$A$2:$A$133</c:f>
              <c:strCache>
                <c:ptCount val="132"/>
                <c:pt idx="0">
                  <c:v>2015 JAN</c:v>
                </c:pt>
                <c:pt idx="1">
                  <c:v>2015 FEB</c:v>
                </c:pt>
                <c:pt idx="2">
                  <c:v>2015 MAR</c:v>
                </c:pt>
                <c:pt idx="3">
                  <c:v>2015 APR</c:v>
                </c:pt>
                <c:pt idx="4">
                  <c:v>2015 MAY</c:v>
                </c:pt>
                <c:pt idx="5">
                  <c:v>2015 JUN</c:v>
                </c:pt>
                <c:pt idx="6">
                  <c:v>2015 JUL</c:v>
                </c:pt>
                <c:pt idx="7">
                  <c:v>2015 AUG</c:v>
                </c:pt>
                <c:pt idx="8">
                  <c:v>2015 SEP</c:v>
                </c:pt>
                <c:pt idx="9">
                  <c:v>2015 OCT</c:v>
                </c:pt>
                <c:pt idx="10">
                  <c:v>2015 NOV</c:v>
                </c:pt>
                <c:pt idx="11">
                  <c:v>2015 DEC</c:v>
                </c:pt>
                <c:pt idx="12">
                  <c:v>2016 JAN</c:v>
                </c:pt>
                <c:pt idx="13">
                  <c:v>2016 FEB</c:v>
                </c:pt>
                <c:pt idx="14">
                  <c:v>2016 MAR</c:v>
                </c:pt>
                <c:pt idx="15">
                  <c:v>2016 APR</c:v>
                </c:pt>
                <c:pt idx="16">
                  <c:v>2016 MAY</c:v>
                </c:pt>
                <c:pt idx="17">
                  <c:v>2016 JUN</c:v>
                </c:pt>
                <c:pt idx="18">
                  <c:v>2016 JUL</c:v>
                </c:pt>
                <c:pt idx="19">
                  <c:v>2016 AUG</c:v>
                </c:pt>
                <c:pt idx="20">
                  <c:v>2016 SEP</c:v>
                </c:pt>
                <c:pt idx="21">
                  <c:v>2016 OCT</c:v>
                </c:pt>
                <c:pt idx="22">
                  <c:v>2016 NOV</c:v>
                </c:pt>
                <c:pt idx="23">
                  <c:v>2016 DEC</c:v>
                </c:pt>
                <c:pt idx="24">
                  <c:v>2017 JAN</c:v>
                </c:pt>
                <c:pt idx="25">
                  <c:v>2017 FEB</c:v>
                </c:pt>
                <c:pt idx="26">
                  <c:v>2017 MAR</c:v>
                </c:pt>
                <c:pt idx="27">
                  <c:v>2017 APR</c:v>
                </c:pt>
                <c:pt idx="28">
                  <c:v>2017 MAY</c:v>
                </c:pt>
                <c:pt idx="29">
                  <c:v>2017 JUN</c:v>
                </c:pt>
                <c:pt idx="30">
                  <c:v>2017 JUL</c:v>
                </c:pt>
                <c:pt idx="31">
                  <c:v>2017 AUG</c:v>
                </c:pt>
                <c:pt idx="32">
                  <c:v>2017 SEP</c:v>
                </c:pt>
                <c:pt idx="33">
                  <c:v>2017 OCT</c:v>
                </c:pt>
                <c:pt idx="34">
                  <c:v>2017 NOV</c:v>
                </c:pt>
                <c:pt idx="35">
                  <c:v>2017 DEC</c:v>
                </c:pt>
                <c:pt idx="36">
                  <c:v>2018 JAN</c:v>
                </c:pt>
                <c:pt idx="37">
                  <c:v>2018 FEB</c:v>
                </c:pt>
                <c:pt idx="38">
                  <c:v>2018 MAR</c:v>
                </c:pt>
                <c:pt idx="39">
                  <c:v>2018 APR</c:v>
                </c:pt>
                <c:pt idx="40">
                  <c:v>2018 MAY</c:v>
                </c:pt>
                <c:pt idx="41">
                  <c:v>2018 JUN</c:v>
                </c:pt>
                <c:pt idx="42">
                  <c:v>2018 JUL</c:v>
                </c:pt>
                <c:pt idx="43">
                  <c:v>2018 AUG</c:v>
                </c:pt>
                <c:pt idx="44">
                  <c:v>2018 SEP</c:v>
                </c:pt>
                <c:pt idx="45">
                  <c:v>2018 OCT</c:v>
                </c:pt>
                <c:pt idx="46">
                  <c:v>2018 NOV</c:v>
                </c:pt>
                <c:pt idx="47">
                  <c:v>2018 DEC</c:v>
                </c:pt>
                <c:pt idx="48">
                  <c:v>2019 JAN</c:v>
                </c:pt>
                <c:pt idx="49">
                  <c:v>2019 FEB</c:v>
                </c:pt>
                <c:pt idx="50">
                  <c:v>2019 MAR</c:v>
                </c:pt>
                <c:pt idx="51">
                  <c:v>2019 APR</c:v>
                </c:pt>
                <c:pt idx="52">
                  <c:v>2019 MAY</c:v>
                </c:pt>
                <c:pt idx="53">
                  <c:v>2019 JUN</c:v>
                </c:pt>
                <c:pt idx="54">
                  <c:v>2019 JUL</c:v>
                </c:pt>
                <c:pt idx="55">
                  <c:v>2019 AUG</c:v>
                </c:pt>
                <c:pt idx="56">
                  <c:v>2019 SEP</c:v>
                </c:pt>
                <c:pt idx="57">
                  <c:v>2019 OCT</c:v>
                </c:pt>
                <c:pt idx="58">
                  <c:v>2019 NOV</c:v>
                </c:pt>
                <c:pt idx="59">
                  <c:v>2019 DEC</c:v>
                </c:pt>
                <c:pt idx="60">
                  <c:v>2020 JAN</c:v>
                </c:pt>
                <c:pt idx="61">
                  <c:v>2020 FEB</c:v>
                </c:pt>
                <c:pt idx="62">
                  <c:v>2020 MAR</c:v>
                </c:pt>
                <c:pt idx="63">
                  <c:v>2020 APR</c:v>
                </c:pt>
                <c:pt idx="64">
                  <c:v>2020 MAY</c:v>
                </c:pt>
                <c:pt idx="65">
                  <c:v>2020 JUN</c:v>
                </c:pt>
                <c:pt idx="66">
                  <c:v>2020 JUL</c:v>
                </c:pt>
                <c:pt idx="67">
                  <c:v>2020 AUG</c:v>
                </c:pt>
                <c:pt idx="68">
                  <c:v>2020 SEP</c:v>
                </c:pt>
                <c:pt idx="69">
                  <c:v>2020 OCT</c:v>
                </c:pt>
                <c:pt idx="70">
                  <c:v>2020 NOV</c:v>
                </c:pt>
                <c:pt idx="71">
                  <c:v>2020 DEC</c:v>
                </c:pt>
                <c:pt idx="72">
                  <c:v>2021 JAN</c:v>
                </c:pt>
                <c:pt idx="73">
                  <c:v>2021 FEB</c:v>
                </c:pt>
                <c:pt idx="74">
                  <c:v>2021 MAR</c:v>
                </c:pt>
                <c:pt idx="75">
                  <c:v>2021 APR</c:v>
                </c:pt>
                <c:pt idx="76">
                  <c:v>2021 MAY</c:v>
                </c:pt>
                <c:pt idx="77">
                  <c:v>2021 JUN</c:v>
                </c:pt>
                <c:pt idx="78">
                  <c:v>2021 JUL</c:v>
                </c:pt>
                <c:pt idx="79">
                  <c:v>2021 AUG</c:v>
                </c:pt>
                <c:pt idx="80">
                  <c:v>2021 SEP</c:v>
                </c:pt>
                <c:pt idx="81">
                  <c:v>2021 OCT</c:v>
                </c:pt>
                <c:pt idx="82">
                  <c:v>2021 NOV</c:v>
                </c:pt>
                <c:pt idx="83">
                  <c:v>2021 DEC</c:v>
                </c:pt>
                <c:pt idx="84">
                  <c:v>2022 JAN</c:v>
                </c:pt>
                <c:pt idx="85">
                  <c:v>2022 FEB</c:v>
                </c:pt>
                <c:pt idx="86">
                  <c:v>2022 MAR</c:v>
                </c:pt>
                <c:pt idx="87">
                  <c:v>2022 APR</c:v>
                </c:pt>
                <c:pt idx="88">
                  <c:v>2022 MAY</c:v>
                </c:pt>
                <c:pt idx="89">
                  <c:v>2022 JUN</c:v>
                </c:pt>
                <c:pt idx="90">
                  <c:v>2022 JUL</c:v>
                </c:pt>
                <c:pt idx="91">
                  <c:v>2022 AUG</c:v>
                </c:pt>
                <c:pt idx="92">
                  <c:v>2022 SEP</c:v>
                </c:pt>
                <c:pt idx="93">
                  <c:v>2022 OCT</c:v>
                </c:pt>
                <c:pt idx="94">
                  <c:v>2022 NOV</c:v>
                </c:pt>
                <c:pt idx="95">
                  <c:v>2022 DEC</c:v>
                </c:pt>
                <c:pt idx="96">
                  <c:v>2023 JAN</c:v>
                </c:pt>
                <c:pt idx="97">
                  <c:v>2023 FEB</c:v>
                </c:pt>
                <c:pt idx="98">
                  <c:v>2023 MAR</c:v>
                </c:pt>
                <c:pt idx="99">
                  <c:v>2023 APR</c:v>
                </c:pt>
                <c:pt idx="100">
                  <c:v>2023 MAY</c:v>
                </c:pt>
                <c:pt idx="101">
                  <c:v>2023 JUN</c:v>
                </c:pt>
                <c:pt idx="102">
                  <c:v>2023 JUL</c:v>
                </c:pt>
                <c:pt idx="103">
                  <c:v>2023 AUG</c:v>
                </c:pt>
                <c:pt idx="104">
                  <c:v>2023 SEP</c:v>
                </c:pt>
                <c:pt idx="105">
                  <c:v>2023 OCT</c:v>
                </c:pt>
                <c:pt idx="106">
                  <c:v>2023 NOV</c:v>
                </c:pt>
                <c:pt idx="107">
                  <c:v>2023 DEC</c:v>
                </c:pt>
                <c:pt idx="108">
                  <c:v>2024 JAN</c:v>
                </c:pt>
                <c:pt idx="109">
                  <c:v>2024 FEB</c:v>
                </c:pt>
                <c:pt idx="110">
                  <c:v>2024 MAR</c:v>
                </c:pt>
                <c:pt idx="111">
                  <c:v>2024 APR</c:v>
                </c:pt>
                <c:pt idx="112">
                  <c:v>2024 MAY</c:v>
                </c:pt>
                <c:pt idx="113">
                  <c:v>2024 JUN</c:v>
                </c:pt>
                <c:pt idx="114">
                  <c:v>2024 JUL</c:v>
                </c:pt>
                <c:pt idx="115">
                  <c:v>2024 AUG</c:v>
                </c:pt>
                <c:pt idx="116">
                  <c:v>2024 SEP</c:v>
                </c:pt>
                <c:pt idx="117">
                  <c:v>2024 OCT</c:v>
                </c:pt>
                <c:pt idx="118">
                  <c:v>2024 NOV</c:v>
                </c:pt>
                <c:pt idx="119">
                  <c:v>2024 DEC</c:v>
                </c:pt>
                <c:pt idx="120">
                  <c:v>2025 JAN</c:v>
                </c:pt>
                <c:pt idx="121">
                  <c:v>2025 FEB</c:v>
                </c:pt>
                <c:pt idx="122">
                  <c:v>2025 MAR</c:v>
                </c:pt>
                <c:pt idx="123">
                  <c:v>2025 APR</c:v>
                </c:pt>
                <c:pt idx="124">
                  <c:v>2025 MAY</c:v>
                </c:pt>
                <c:pt idx="125">
                  <c:v>2025 JUN</c:v>
                </c:pt>
                <c:pt idx="126">
                  <c:v>2025 JUL</c:v>
                </c:pt>
                <c:pt idx="127">
                  <c:v>2025 AUG</c:v>
                </c:pt>
                <c:pt idx="128">
                  <c:v>2025 SEP</c:v>
                </c:pt>
                <c:pt idx="129">
                  <c:v>2025 OCT</c:v>
                </c:pt>
                <c:pt idx="130">
                  <c:v>2025 NOV</c:v>
                </c:pt>
                <c:pt idx="131">
                  <c:v>2025 DEC</c:v>
                </c:pt>
              </c:strCache>
            </c:strRef>
          </c:cat>
          <c:val>
            <c:numRef>
              <c:f>Chart3!$D$2:$D$133</c:f>
              <c:numCache>
                <c:formatCode>General</c:formatCode>
                <c:ptCount val="132"/>
                <c:pt idx="0">
                  <c:v>16</c:v>
                </c:pt>
                <c:pt idx="1">
                  <c:v>14</c:v>
                </c:pt>
                <c:pt idx="2">
                  <c:v>19</c:v>
                </c:pt>
                <c:pt idx="3">
                  <c:v>22</c:v>
                </c:pt>
                <c:pt idx="4">
                  <c:v>18</c:v>
                </c:pt>
                <c:pt idx="5">
                  <c:v>28</c:v>
                </c:pt>
                <c:pt idx="6">
                  <c:v>39</c:v>
                </c:pt>
                <c:pt idx="7">
                  <c:v>67</c:v>
                </c:pt>
                <c:pt idx="8">
                  <c:v>41</c:v>
                </c:pt>
                <c:pt idx="9">
                  <c:v>16</c:v>
                </c:pt>
                <c:pt idx="10">
                  <c:v>15</c:v>
                </c:pt>
                <c:pt idx="11">
                  <c:v>12</c:v>
                </c:pt>
                <c:pt idx="12">
                  <c:v>18</c:v>
                </c:pt>
                <c:pt idx="13">
                  <c:v>14</c:v>
                </c:pt>
                <c:pt idx="14">
                  <c:v>17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42</c:v>
                </c:pt>
                <c:pt idx="19">
                  <c:v>66</c:v>
                </c:pt>
                <c:pt idx="20">
                  <c:v>50</c:v>
                </c:pt>
                <c:pt idx="21">
                  <c:v>19</c:v>
                </c:pt>
                <c:pt idx="22">
                  <c:v>16</c:v>
                </c:pt>
                <c:pt idx="23">
                  <c:v>11</c:v>
                </c:pt>
                <c:pt idx="24">
                  <c:v>17</c:v>
                </c:pt>
                <c:pt idx="25">
                  <c:v>14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31</c:v>
                </c:pt>
                <c:pt idx="30">
                  <c:v>50</c:v>
                </c:pt>
                <c:pt idx="31">
                  <c:v>74</c:v>
                </c:pt>
                <c:pt idx="32">
                  <c:v>48</c:v>
                </c:pt>
                <c:pt idx="33">
                  <c:v>18</c:v>
                </c:pt>
                <c:pt idx="34">
                  <c:v>16</c:v>
                </c:pt>
                <c:pt idx="35">
                  <c:v>12</c:v>
                </c:pt>
                <c:pt idx="36">
                  <c:v>19</c:v>
                </c:pt>
                <c:pt idx="37">
                  <c:v>15</c:v>
                </c:pt>
                <c:pt idx="38">
                  <c:v>19</c:v>
                </c:pt>
                <c:pt idx="39">
                  <c:v>24</c:v>
                </c:pt>
                <c:pt idx="40">
                  <c:v>21</c:v>
                </c:pt>
                <c:pt idx="41">
                  <c:v>32</c:v>
                </c:pt>
                <c:pt idx="42">
                  <c:v>48</c:v>
                </c:pt>
                <c:pt idx="43">
                  <c:v>83</c:v>
                </c:pt>
                <c:pt idx="44">
                  <c:v>49</c:v>
                </c:pt>
                <c:pt idx="45">
                  <c:v>21</c:v>
                </c:pt>
                <c:pt idx="46">
                  <c:v>18</c:v>
                </c:pt>
                <c:pt idx="47">
                  <c:v>12</c:v>
                </c:pt>
                <c:pt idx="48">
                  <c:v>20</c:v>
                </c:pt>
                <c:pt idx="49">
                  <c:v>15</c:v>
                </c:pt>
                <c:pt idx="50">
                  <c:v>22</c:v>
                </c:pt>
                <c:pt idx="51">
                  <c:v>23</c:v>
                </c:pt>
                <c:pt idx="52">
                  <c:v>23</c:v>
                </c:pt>
                <c:pt idx="53">
                  <c:v>36</c:v>
                </c:pt>
                <c:pt idx="54">
                  <c:v>50</c:v>
                </c:pt>
                <c:pt idx="55">
                  <c:v>82</c:v>
                </c:pt>
                <c:pt idx="56">
                  <c:v>47</c:v>
                </c:pt>
                <c:pt idx="57">
                  <c:v>19</c:v>
                </c:pt>
                <c:pt idx="58">
                  <c:v>17</c:v>
                </c:pt>
                <c:pt idx="59">
                  <c:v>11</c:v>
                </c:pt>
                <c:pt idx="60">
                  <c:v>20</c:v>
                </c:pt>
                <c:pt idx="61">
                  <c:v>18</c:v>
                </c:pt>
                <c:pt idx="62">
                  <c:v>14</c:v>
                </c:pt>
                <c:pt idx="63">
                  <c:v>11</c:v>
                </c:pt>
                <c:pt idx="64">
                  <c:v>16</c:v>
                </c:pt>
                <c:pt idx="65">
                  <c:v>29</c:v>
                </c:pt>
                <c:pt idx="66">
                  <c:v>62</c:v>
                </c:pt>
                <c:pt idx="67">
                  <c:v>100</c:v>
                </c:pt>
                <c:pt idx="68">
                  <c:v>60</c:v>
                </c:pt>
                <c:pt idx="69">
                  <c:v>21</c:v>
                </c:pt>
                <c:pt idx="70">
                  <c:v>20</c:v>
                </c:pt>
                <c:pt idx="71">
                  <c:v>12</c:v>
                </c:pt>
                <c:pt idx="72">
                  <c:v>9</c:v>
                </c:pt>
                <c:pt idx="73">
                  <c:v>18</c:v>
                </c:pt>
                <c:pt idx="74">
                  <c:v>40</c:v>
                </c:pt>
                <c:pt idx="75">
                  <c:v>27</c:v>
                </c:pt>
                <c:pt idx="76">
                  <c:v>24</c:v>
                </c:pt>
                <c:pt idx="77">
                  <c:v>35</c:v>
                </c:pt>
                <c:pt idx="78">
                  <c:v>58</c:v>
                </c:pt>
                <c:pt idx="79">
                  <c:v>89</c:v>
                </c:pt>
                <c:pt idx="80">
                  <c:v>55</c:v>
                </c:pt>
                <c:pt idx="81">
                  <c:v>21</c:v>
                </c:pt>
                <c:pt idx="82">
                  <c:v>19</c:v>
                </c:pt>
                <c:pt idx="83">
                  <c:v>12</c:v>
                </c:pt>
                <c:pt idx="84">
                  <c:v>21</c:v>
                </c:pt>
                <c:pt idx="85">
                  <c:v>18</c:v>
                </c:pt>
                <c:pt idx="86">
                  <c:v>24</c:v>
                </c:pt>
                <c:pt idx="87">
                  <c:v>23</c:v>
                </c:pt>
                <c:pt idx="88">
                  <c:v>24</c:v>
                </c:pt>
                <c:pt idx="89">
                  <c:v>37</c:v>
                </c:pt>
                <c:pt idx="90">
                  <c:v>64</c:v>
                </c:pt>
                <c:pt idx="91">
                  <c:v>85</c:v>
                </c:pt>
                <c:pt idx="92">
                  <c:v>55</c:v>
                </c:pt>
                <c:pt idx="93">
                  <c:v>22</c:v>
                </c:pt>
                <c:pt idx="94">
                  <c:v>21</c:v>
                </c:pt>
                <c:pt idx="95">
                  <c:v>12</c:v>
                </c:pt>
                <c:pt idx="96">
                  <c:v>21</c:v>
                </c:pt>
                <c:pt idx="97">
                  <c:v>18</c:v>
                </c:pt>
                <c:pt idx="98">
                  <c:v>22</c:v>
                </c:pt>
                <c:pt idx="99">
                  <c:v>22</c:v>
                </c:pt>
                <c:pt idx="100">
                  <c:v>25</c:v>
                </c:pt>
                <c:pt idx="101">
                  <c:v>36</c:v>
                </c:pt>
                <c:pt idx="102">
                  <c:v>56</c:v>
                </c:pt>
                <c:pt idx="103">
                  <c:v>76</c:v>
                </c:pt>
                <c:pt idx="104">
                  <c:v>56</c:v>
                </c:pt>
                <c:pt idx="105">
                  <c:v>22</c:v>
                </c:pt>
                <c:pt idx="106">
                  <c:v>19</c:v>
                </c:pt>
                <c:pt idx="107">
                  <c:v>12</c:v>
                </c:pt>
                <c:pt idx="108">
                  <c:v>20</c:v>
                </c:pt>
                <c:pt idx="109">
                  <c:v>15</c:v>
                </c:pt>
                <c:pt idx="110">
                  <c:v>20</c:v>
                </c:pt>
                <c:pt idx="111">
                  <c:v>22</c:v>
                </c:pt>
                <c:pt idx="112">
                  <c:v>22</c:v>
                </c:pt>
                <c:pt idx="113">
                  <c:v>32</c:v>
                </c:pt>
                <c:pt idx="114">
                  <c:v>52</c:v>
                </c:pt>
                <c:pt idx="115">
                  <c:v>70</c:v>
                </c:pt>
                <c:pt idx="116">
                  <c:v>45</c:v>
                </c:pt>
                <c:pt idx="117">
                  <c:v>17</c:v>
                </c:pt>
                <c:pt idx="118">
                  <c:v>15</c:v>
                </c:pt>
                <c:pt idx="119">
                  <c:v>12</c:v>
                </c:pt>
                <c:pt idx="120">
                  <c:v>18</c:v>
                </c:pt>
                <c:pt idx="121">
                  <c:v>14</c:v>
                </c:pt>
                <c:pt idx="122">
                  <c:v>21</c:v>
                </c:pt>
                <c:pt idx="123">
                  <c:v>23</c:v>
                </c:pt>
                <c:pt idx="124">
                  <c:v>22</c:v>
                </c:pt>
                <c:pt idx="125">
                  <c:v>34</c:v>
                </c:pt>
                <c:pt idx="126">
                  <c:v>54</c:v>
                </c:pt>
                <c:pt idx="127">
                  <c:v>73</c:v>
                </c:pt>
                <c:pt idx="128">
                  <c:v>43</c:v>
                </c:pt>
                <c:pt idx="129">
                  <c:v>16</c:v>
                </c:pt>
                <c:pt idx="130">
                  <c:v>16</c:v>
                </c:pt>
                <c:pt idx="13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C6-0449-8357-3EFA43653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729664"/>
        <c:axId val="226803008"/>
      </c:lineChart>
      <c:catAx>
        <c:axId val="2387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03008"/>
        <c:crosses val="autoZero"/>
        <c:auto val="1"/>
        <c:lblAlgn val="ctr"/>
        <c:lblOffset val="100"/>
        <c:noMultiLvlLbl val="0"/>
      </c:catAx>
      <c:valAx>
        <c:axId val="2268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14</xdr:row>
      <xdr:rowOff>57150</xdr:rowOff>
    </xdr:from>
    <xdr:to>
      <xdr:col>13</xdr:col>
      <xdr:colOff>742950</xdr:colOff>
      <xdr:row>27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6B75E5-8094-63F9-F778-3FDFAA2F3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14</xdr:row>
      <xdr:rowOff>57150</xdr:rowOff>
    </xdr:from>
    <xdr:to>
      <xdr:col>13</xdr:col>
      <xdr:colOff>742950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23528-37C6-2C61-D4BB-859FB2A20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14</xdr:row>
      <xdr:rowOff>57150</xdr:rowOff>
    </xdr:from>
    <xdr:to>
      <xdr:col>13</xdr:col>
      <xdr:colOff>742950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94264-9EFB-362A-6ABB-627380A53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5072-64BD-3445-9202-0F4800745FFB}">
  <dimension ref="A1:G133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s="1" t="s">
        <v>133</v>
      </c>
      <c r="B1" s="1" t="s">
        <v>132</v>
      </c>
      <c r="C1" s="1" t="s">
        <v>134</v>
      </c>
      <c r="D1" s="2" t="s">
        <v>135</v>
      </c>
      <c r="E1" s="2" t="s">
        <v>136</v>
      </c>
      <c r="F1" s="2" t="s">
        <v>137</v>
      </c>
      <c r="G1" s="2" t="s">
        <v>138</v>
      </c>
    </row>
    <row r="2" spans="1:7" x14ac:dyDescent="0.2">
      <c r="A2" t="s">
        <v>0</v>
      </c>
      <c r="B2">
        <v>82.7</v>
      </c>
      <c r="C2">
        <v>98</v>
      </c>
      <c r="D2">
        <v>7</v>
      </c>
      <c r="E2">
        <v>7</v>
      </c>
      <c r="F2">
        <v>0</v>
      </c>
      <c r="G2">
        <v>16</v>
      </c>
    </row>
    <row r="3" spans="1:7" x14ac:dyDescent="0.2">
      <c r="A3" t="s">
        <v>1</v>
      </c>
      <c r="B3">
        <v>79.5</v>
      </c>
      <c r="C3">
        <v>99.3</v>
      </c>
      <c r="D3">
        <v>4</v>
      </c>
      <c r="E3">
        <v>9</v>
      </c>
      <c r="F3">
        <v>0</v>
      </c>
      <c r="G3">
        <v>14</v>
      </c>
    </row>
    <row r="4" spans="1:7" x14ac:dyDescent="0.2">
      <c r="A4" t="s">
        <v>2</v>
      </c>
      <c r="B4">
        <v>87.2</v>
      </c>
      <c r="C4">
        <v>99.2</v>
      </c>
      <c r="D4">
        <v>2</v>
      </c>
      <c r="E4">
        <v>11</v>
      </c>
      <c r="F4">
        <v>0</v>
      </c>
      <c r="G4">
        <v>19</v>
      </c>
    </row>
    <row r="5" spans="1:7" x14ac:dyDescent="0.2">
      <c r="A5" t="s">
        <v>3</v>
      </c>
      <c r="B5">
        <v>93.4</v>
      </c>
      <c r="C5">
        <v>99.9</v>
      </c>
      <c r="D5">
        <v>1</v>
      </c>
      <c r="E5">
        <v>15</v>
      </c>
      <c r="F5">
        <v>0</v>
      </c>
      <c r="G5">
        <v>22</v>
      </c>
    </row>
    <row r="6" spans="1:7" x14ac:dyDescent="0.2">
      <c r="A6" t="s">
        <v>4</v>
      </c>
      <c r="B6">
        <v>94.3</v>
      </c>
      <c r="C6">
        <v>100.5</v>
      </c>
      <c r="D6">
        <v>1</v>
      </c>
      <c r="E6">
        <v>13</v>
      </c>
      <c r="F6">
        <v>0</v>
      </c>
      <c r="G6">
        <v>18</v>
      </c>
    </row>
    <row r="7" spans="1:7" x14ac:dyDescent="0.2">
      <c r="A7" t="s">
        <v>5</v>
      </c>
      <c r="B7">
        <v>100.4</v>
      </c>
      <c r="C7">
        <v>100.1</v>
      </c>
      <c r="D7">
        <v>1</v>
      </c>
      <c r="E7">
        <v>16</v>
      </c>
      <c r="F7">
        <v>0</v>
      </c>
      <c r="G7">
        <v>28</v>
      </c>
    </row>
    <row r="8" spans="1:7" x14ac:dyDescent="0.2">
      <c r="A8" t="s">
        <v>6</v>
      </c>
      <c r="B8">
        <v>101.7</v>
      </c>
      <c r="C8">
        <v>96.7</v>
      </c>
      <c r="D8">
        <v>3</v>
      </c>
      <c r="E8">
        <v>13</v>
      </c>
      <c r="F8">
        <v>0</v>
      </c>
      <c r="G8">
        <v>39</v>
      </c>
    </row>
    <row r="9" spans="1:7" x14ac:dyDescent="0.2">
      <c r="A9" t="s">
        <v>7</v>
      </c>
      <c r="B9">
        <v>99.4</v>
      </c>
      <c r="C9">
        <v>98.2</v>
      </c>
      <c r="D9">
        <v>7</v>
      </c>
      <c r="E9">
        <v>7</v>
      </c>
      <c r="F9">
        <v>0</v>
      </c>
      <c r="G9">
        <v>67</v>
      </c>
    </row>
    <row r="10" spans="1:7" x14ac:dyDescent="0.2">
      <c r="A10" t="s">
        <v>8</v>
      </c>
      <c r="B10">
        <v>96</v>
      </c>
      <c r="C10">
        <v>100.9</v>
      </c>
      <c r="D10">
        <v>17</v>
      </c>
      <c r="E10">
        <v>3</v>
      </c>
      <c r="F10">
        <v>0</v>
      </c>
      <c r="G10">
        <v>41</v>
      </c>
    </row>
    <row r="11" spans="1:7" x14ac:dyDescent="0.2">
      <c r="A11" t="s">
        <v>9</v>
      </c>
      <c r="B11">
        <v>96.9</v>
      </c>
      <c r="C11">
        <v>102.9</v>
      </c>
      <c r="D11">
        <v>23</v>
      </c>
      <c r="E11">
        <v>2</v>
      </c>
      <c r="F11">
        <v>0</v>
      </c>
      <c r="G11">
        <v>16</v>
      </c>
    </row>
    <row r="12" spans="1:7" x14ac:dyDescent="0.2">
      <c r="A12" t="s">
        <v>10</v>
      </c>
      <c r="B12">
        <v>110</v>
      </c>
      <c r="C12">
        <v>102.8</v>
      </c>
      <c r="D12">
        <v>20</v>
      </c>
      <c r="E12">
        <v>2</v>
      </c>
      <c r="F12">
        <v>8</v>
      </c>
      <c r="G12">
        <v>15</v>
      </c>
    </row>
    <row r="13" spans="1:7" x14ac:dyDescent="0.2">
      <c r="A13" t="s">
        <v>11</v>
      </c>
      <c r="B13">
        <v>136.9</v>
      </c>
      <c r="C13">
        <v>101.5</v>
      </c>
      <c r="D13">
        <v>9</v>
      </c>
      <c r="E13">
        <v>2</v>
      </c>
      <c r="F13">
        <v>0</v>
      </c>
      <c r="G13">
        <v>12</v>
      </c>
    </row>
    <row r="14" spans="1:7" x14ac:dyDescent="0.2">
      <c r="A14" t="s">
        <v>12</v>
      </c>
      <c r="B14">
        <v>82.5</v>
      </c>
      <c r="C14">
        <v>98.3</v>
      </c>
      <c r="D14">
        <v>9</v>
      </c>
      <c r="E14">
        <v>7</v>
      </c>
      <c r="F14">
        <v>0</v>
      </c>
      <c r="G14">
        <v>18</v>
      </c>
    </row>
    <row r="15" spans="1:7" x14ac:dyDescent="0.2">
      <c r="A15" t="s">
        <v>13</v>
      </c>
      <c r="B15">
        <v>76.5</v>
      </c>
      <c r="C15">
        <v>99.6</v>
      </c>
      <c r="D15">
        <v>5</v>
      </c>
      <c r="E15">
        <v>10</v>
      </c>
      <c r="F15">
        <v>0</v>
      </c>
      <c r="G15">
        <v>14</v>
      </c>
    </row>
    <row r="16" spans="1:7" x14ac:dyDescent="0.2">
      <c r="A16" t="s">
        <v>14</v>
      </c>
      <c r="B16">
        <v>82.7</v>
      </c>
      <c r="C16">
        <v>100.6</v>
      </c>
      <c r="D16">
        <v>3</v>
      </c>
      <c r="E16">
        <v>11</v>
      </c>
      <c r="F16">
        <v>0</v>
      </c>
      <c r="G16">
        <v>17</v>
      </c>
    </row>
    <row r="17" spans="1:7" x14ac:dyDescent="0.2">
      <c r="A17" t="s">
        <v>15</v>
      </c>
      <c r="B17">
        <v>86.2</v>
      </c>
      <c r="C17">
        <v>100.3</v>
      </c>
      <c r="D17">
        <v>2</v>
      </c>
      <c r="E17">
        <v>15</v>
      </c>
      <c r="F17">
        <v>0</v>
      </c>
      <c r="G17">
        <v>23</v>
      </c>
    </row>
    <row r="18" spans="1:7" x14ac:dyDescent="0.2">
      <c r="A18" t="s">
        <v>16</v>
      </c>
      <c r="B18">
        <v>91.9</v>
      </c>
      <c r="C18">
        <v>100.1</v>
      </c>
      <c r="D18">
        <v>1</v>
      </c>
      <c r="E18">
        <v>21</v>
      </c>
      <c r="F18">
        <v>0</v>
      </c>
      <c r="G18">
        <v>21</v>
      </c>
    </row>
    <row r="19" spans="1:7" x14ac:dyDescent="0.2">
      <c r="A19" t="s">
        <v>17</v>
      </c>
      <c r="B19">
        <v>94.8</v>
      </c>
      <c r="C19">
        <v>99.4</v>
      </c>
      <c r="D19">
        <v>1</v>
      </c>
      <c r="E19">
        <v>15</v>
      </c>
      <c r="F19">
        <v>0</v>
      </c>
      <c r="G19">
        <v>28</v>
      </c>
    </row>
    <row r="20" spans="1:7" x14ac:dyDescent="0.2">
      <c r="A20" t="s">
        <v>18</v>
      </c>
      <c r="B20">
        <v>104.9</v>
      </c>
      <c r="C20">
        <v>96</v>
      </c>
      <c r="D20">
        <v>3</v>
      </c>
      <c r="E20">
        <v>16</v>
      </c>
      <c r="F20">
        <v>0</v>
      </c>
      <c r="G20">
        <v>42</v>
      </c>
    </row>
    <row r="21" spans="1:7" x14ac:dyDescent="0.2">
      <c r="A21" t="s">
        <v>19</v>
      </c>
      <c r="B21">
        <v>97.7</v>
      </c>
      <c r="C21">
        <v>97</v>
      </c>
      <c r="D21">
        <v>7</v>
      </c>
      <c r="E21">
        <v>11</v>
      </c>
      <c r="F21">
        <v>0</v>
      </c>
      <c r="G21">
        <v>66</v>
      </c>
    </row>
    <row r="22" spans="1:7" x14ac:dyDescent="0.2">
      <c r="A22" t="s">
        <v>20</v>
      </c>
      <c r="B22">
        <v>92.2</v>
      </c>
      <c r="C22">
        <v>102</v>
      </c>
      <c r="D22">
        <v>16</v>
      </c>
      <c r="E22">
        <v>6</v>
      </c>
      <c r="F22">
        <v>0</v>
      </c>
      <c r="G22">
        <v>50</v>
      </c>
    </row>
    <row r="23" spans="1:7" x14ac:dyDescent="0.2">
      <c r="A23" t="s">
        <v>21</v>
      </c>
      <c r="B23">
        <v>100.9</v>
      </c>
      <c r="C23">
        <v>102.3</v>
      </c>
      <c r="D23">
        <v>29</v>
      </c>
      <c r="E23">
        <v>3</v>
      </c>
      <c r="F23">
        <v>0</v>
      </c>
      <c r="G23">
        <v>19</v>
      </c>
    </row>
    <row r="24" spans="1:7" x14ac:dyDescent="0.2">
      <c r="A24" t="s">
        <v>22</v>
      </c>
      <c r="B24">
        <v>110.4</v>
      </c>
      <c r="C24">
        <v>103.7</v>
      </c>
      <c r="D24">
        <v>33</v>
      </c>
      <c r="E24">
        <v>3</v>
      </c>
      <c r="F24">
        <v>8</v>
      </c>
      <c r="G24">
        <v>16</v>
      </c>
    </row>
    <row r="25" spans="1:7" x14ac:dyDescent="0.2">
      <c r="A25" t="s">
        <v>23</v>
      </c>
      <c r="B25">
        <v>138.6</v>
      </c>
      <c r="C25">
        <v>102.7</v>
      </c>
      <c r="D25">
        <v>13</v>
      </c>
      <c r="E25">
        <v>3</v>
      </c>
      <c r="F25">
        <v>0</v>
      </c>
      <c r="G25">
        <v>11</v>
      </c>
    </row>
    <row r="26" spans="1:7" x14ac:dyDescent="0.2">
      <c r="A26" t="s">
        <v>24</v>
      </c>
      <c r="B26">
        <v>84</v>
      </c>
      <c r="C26">
        <v>98.3</v>
      </c>
      <c r="D26">
        <v>10</v>
      </c>
      <c r="E26">
        <v>9</v>
      </c>
      <c r="F26">
        <v>0</v>
      </c>
      <c r="G26">
        <v>17</v>
      </c>
    </row>
    <row r="27" spans="1:7" x14ac:dyDescent="0.2">
      <c r="A27" t="s">
        <v>25</v>
      </c>
      <c r="B27">
        <v>80</v>
      </c>
      <c r="C27">
        <v>99.5</v>
      </c>
      <c r="D27">
        <v>5</v>
      </c>
      <c r="E27">
        <v>11</v>
      </c>
      <c r="F27">
        <v>0</v>
      </c>
      <c r="G27">
        <v>14</v>
      </c>
    </row>
    <row r="28" spans="1:7" x14ac:dyDescent="0.2">
      <c r="A28" t="s">
        <v>26</v>
      </c>
      <c r="B28">
        <v>87.8</v>
      </c>
      <c r="C28">
        <v>101.6</v>
      </c>
      <c r="D28">
        <v>2</v>
      </c>
      <c r="E28">
        <v>15</v>
      </c>
      <c r="F28">
        <v>0</v>
      </c>
      <c r="G28">
        <v>20</v>
      </c>
    </row>
    <row r="29" spans="1:7" x14ac:dyDescent="0.2">
      <c r="A29" t="s">
        <v>27</v>
      </c>
      <c r="B29">
        <v>93.4</v>
      </c>
      <c r="C29">
        <v>102.7</v>
      </c>
      <c r="D29">
        <v>1</v>
      </c>
      <c r="E29">
        <v>20</v>
      </c>
      <c r="F29">
        <v>0</v>
      </c>
      <c r="G29">
        <v>21</v>
      </c>
    </row>
    <row r="30" spans="1:7" x14ac:dyDescent="0.2">
      <c r="A30" t="s">
        <v>28</v>
      </c>
      <c r="B30">
        <v>95.5</v>
      </c>
      <c r="C30">
        <v>103.2</v>
      </c>
      <c r="D30">
        <v>1</v>
      </c>
      <c r="E30">
        <v>26</v>
      </c>
      <c r="F30">
        <v>0</v>
      </c>
      <c r="G30">
        <v>21</v>
      </c>
    </row>
    <row r="31" spans="1:7" x14ac:dyDescent="0.2">
      <c r="A31" t="s">
        <v>29</v>
      </c>
      <c r="B31">
        <v>101</v>
      </c>
      <c r="C31">
        <v>102.1</v>
      </c>
      <c r="D31">
        <v>1</v>
      </c>
      <c r="E31">
        <v>31</v>
      </c>
      <c r="F31">
        <v>0</v>
      </c>
      <c r="G31">
        <v>31</v>
      </c>
    </row>
    <row r="32" spans="1:7" x14ac:dyDescent="0.2">
      <c r="A32" t="s">
        <v>30</v>
      </c>
      <c r="B32">
        <v>106.4</v>
      </c>
      <c r="C32">
        <v>99.1</v>
      </c>
      <c r="D32">
        <v>3</v>
      </c>
      <c r="E32">
        <v>19</v>
      </c>
      <c r="F32">
        <v>0</v>
      </c>
      <c r="G32">
        <v>50</v>
      </c>
    </row>
    <row r="33" spans="1:7" x14ac:dyDescent="0.2">
      <c r="A33" t="s">
        <v>31</v>
      </c>
      <c r="B33">
        <v>101.5</v>
      </c>
      <c r="C33">
        <v>101.5</v>
      </c>
      <c r="D33">
        <v>9</v>
      </c>
      <c r="E33">
        <v>9</v>
      </c>
      <c r="F33">
        <v>0</v>
      </c>
      <c r="G33">
        <v>74</v>
      </c>
    </row>
    <row r="34" spans="1:7" x14ac:dyDescent="0.2">
      <c r="A34" t="s">
        <v>32</v>
      </c>
      <c r="B34">
        <v>98.3</v>
      </c>
      <c r="C34">
        <v>105.4</v>
      </c>
      <c r="D34">
        <v>27</v>
      </c>
      <c r="E34">
        <v>5</v>
      </c>
      <c r="F34">
        <v>0</v>
      </c>
      <c r="G34">
        <v>48</v>
      </c>
    </row>
    <row r="35" spans="1:7" x14ac:dyDescent="0.2">
      <c r="A35" t="s">
        <v>33</v>
      </c>
      <c r="B35">
        <v>99</v>
      </c>
      <c r="C35">
        <v>105.5</v>
      </c>
      <c r="D35">
        <v>24</v>
      </c>
      <c r="E35">
        <v>3</v>
      </c>
      <c r="F35">
        <v>0</v>
      </c>
      <c r="G35">
        <v>18</v>
      </c>
    </row>
    <row r="36" spans="1:7" x14ac:dyDescent="0.2">
      <c r="A36" t="s">
        <v>34</v>
      </c>
      <c r="B36">
        <v>113.1</v>
      </c>
      <c r="C36">
        <v>106.8</v>
      </c>
      <c r="D36">
        <v>29</v>
      </c>
      <c r="E36">
        <v>3</v>
      </c>
      <c r="F36">
        <v>9</v>
      </c>
      <c r="G36">
        <v>16</v>
      </c>
    </row>
    <row r="37" spans="1:7" x14ac:dyDescent="0.2">
      <c r="A37" t="s">
        <v>35</v>
      </c>
      <c r="B37">
        <v>140.4</v>
      </c>
      <c r="C37">
        <v>105.8</v>
      </c>
      <c r="D37">
        <v>19</v>
      </c>
      <c r="E37">
        <v>3</v>
      </c>
      <c r="F37">
        <v>0</v>
      </c>
      <c r="G37">
        <v>12</v>
      </c>
    </row>
    <row r="38" spans="1:7" x14ac:dyDescent="0.2">
      <c r="A38" t="s">
        <v>36</v>
      </c>
      <c r="B38">
        <v>83.8</v>
      </c>
      <c r="C38">
        <v>101.7</v>
      </c>
      <c r="D38">
        <v>9</v>
      </c>
      <c r="E38">
        <v>10</v>
      </c>
      <c r="F38">
        <v>0</v>
      </c>
      <c r="G38">
        <v>19</v>
      </c>
    </row>
    <row r="39" spans="1:7" x14ac:dyDescent="0.2">
      <c r="A39" t="s">
        <v>37</v>
      </c>
      <c r="B39">
        <v>78.5</v>
      </c>
      <c r="C39">
        <v>103.4</v>
      </c>
      <c r="D39">
        <v>8</v>
      </c>
      <c r="E39">
        <v>11</v>
      </c>
      <c r="F39">
        <v>0</v>
      </c>
      <c r="G39">
        <v>15</v>
      </c>
    </row>
    <row r="40" spans="1:7" x14ac:dyDescent="0.2">
      <c r="A40" t="s">
        <v>38</v>
      </c>
      <c r="B40">
        <v>85.2</v>
      </c>
      <c r="C40">
        <v>104.1</v>
      </c>
      <c r="D40">
        <v>6</v>
      </c>
      <c r="E40">
        <v>14</v>
      </c>
      <c r="F40">
        <v>0</v>
      </c>
      <c r="G40">
        <v>19</v>
      </c>
    </row>
    <row r="41" spans="1:7" x14ac:dyDescent="0.2">
      <c r="A41" t="s">
        <v>39</v>
      </c>
      <c r="B41">
        <v>90.4</v>
      </c>
      <c r="C41">
        <v>104.5</v>
      </c>
      <c r="D41">
        <v>2</v>
      </c>
      <c r="E41">
        <v>27</v>
      </c>
      <c r="F41">
        <v>0</v>
      </c>
      <c r="G41">
        <v>24</v>
      </c>
    </row>
    <row r="42" spans="1:7" x14ac:dyDescent="0.2">
      <c r="A42" t="s">
        <v>40</v>
      </c>
      <c r="B42">
        <v>96.8</v>
      </c>
      <c r="C42">
        <v>104.7</v>
      </c>
      <c r="D42">
        <v>1</v>
      </c>
      <c r="E42">
        <v>34</v>
      </c>
      <c r="F42">
        <v>0</v>
      </c>
      <c r="G42">
        <v>21</v>
      </c>
    </row>
    <row r="43" spans="1:7" x14ac:dyDescent="0.2">
      <c r="A43" t="s">
        <v>41</v>
      </c>
      <c r="B43">
        <v>100.8</v>
      </c>
      <c r="C43">
        <v>102.5</v>
      </c>
      <c r="D43">
        <v>1</v>
      </c>
      <c r="E43">
        <v>33</v>
      </c>
      <c r="F43">
        <v>0</v>
      </c>
      <c r="G43">
        <v>32</v>
      </c>
    </row>
    <row r="44" spans="1:7" x14ac:dyDescent="0.2">
      <c r="A44" t="s">
        <v>42</v>
      </c>
      <c r="B44">
        <v>108.4</v>
      </c>
      <c r="C44">
        <v>98.7</v>
      </c>
      <c r="D44">
        <v>3</v>
      </c>
      <c r="E44">
        <v>39</v>
      </c>
      <c r="F44">
        <v>0</v>
      </c>
      <c r="G44">
        <v>48</v>
      </c>
    </row>
    <row r="45" spans="1:7" x14ac:dyDescent="0.2">
      <c r="A45" t="s">
        <v>43</v>
      </c>
      <c r="B45">
        <v>99.7</v>
      </c>
      <c r="C45">
        <v>101.8</v>
      </c>
      <c r="D45">
        <v>12</v>
      </c>
      <c r="E45">
        <v>13</v>
      </c>
      <c r="F45">
        <v>0</v>
      </c>
      <c r="G45">
        <v>83</v>
      </c>
    </row>
    <row r="46" spans="1:7" x14ac:dyDescent="0.2">
      <c r="A46" t="s">
        <v>44</v>
      </c>
      <c r="B46">
        <v>97.4</v>
      </c>
      <c r="C46">
        <v>104.9</v>
      </c>
      <c r="D46">
        <v>25</v>
      </c>
      <c r="E46">
        <v>5</v>
      </c>
      <c r="F46">
        <v>0</v>
      </c>
      <c r="G46">
        <v>49</v>
      </c>
    </row>
    <row r="47" spans="1:7" x14ac:dyDescent="0.2">
      <c r="A47" t="s">
        <v>45</v>
      </c>
      <c r="B47">
        <v>99.6</v>
      </c>
      <c r="C47">
        <v>104.4</v>
      </c>
      <c r="D47">
        <v>27</v>
      </c>
      <c r="E47">
        <v>3</v>
      </c>
      <c r="F47">
        <v>0</v>
      </c>
      <c r="G47">
        <v>21</v>
      </c>
    </row>
    <row r="48" spans="1:7" x14ac:dyDescent="0.2">
      <c r="A48" t="s">
        <v>46</v>
      </c>
      <c r="B48">
        <v>114.9</v>
      </c>
      <c r="C48">
        <v>106</v>
      </c>
      <c r="D48">
        <v>25</v>
      </c>
      <c r="E48">
        <v>3</v>
      </c>
      <c r="F48">
        <v>9</v>
      </c>
      <c r="G48">
        <v>18</v>
      </c>
    </row>
    <row r="49" spans="1:7" x14ac:dyDescent="0.2">
      <c r="A49" t="s">
        <v>47</v>
      </c>
      <c r="B49">
        <v>144.69999999999999</v>
      </c>
      <c r="C49">
        <v>104.9</v>
      </c>
      <c r="D49">
        <v>14</v>
      </c>
      <c r="E49">
        <v>3</v>
      </c>
      <c r="F49">
        <v>0</v>
      </c>
      <c r="G49">
        <v>12</v>
      </c>
    </row>
    <row r="50" spans="1:7" x14ac:dyDescent="0.2">
      <c r="A50" t="s">
        <v>48</v>
      </c>
      <c r="B50">
        <v>87.4</v>
      </c>
      <c r="C50">
        <v>100.4</v>
      </c>
      <c r="D50">
        <v>12</v>
      </c>
      <c r="E50">
        <v>10</v>
      </c>
      <c r="F50">
        <v>0</v>
      </c>
      <c r="G50">
        <v>20</v>
      </c>
    </row>
    <row r="51" spans="1:7" x14ac:dyDescent="0.2">
      <c r="A51" t="s">
        <v>49</v>
      </c>
      <c r="B51">
        <v>81.900000000000006</v>
      </c>
      <c r="C51">
        <v>101.3</v>
      </c>
      <c r="D51">
        <v>5</v>
      </c>
      <c r="E51">
        <v>15</v>
      </c>
      <c r="F51">
        <v>0</v>
      </c>
      <c r="G51">
        <v>15</v>
      </c>
    </row>
    <row r="52" spans="1:7" x14ac:dyDescent="0.2">
      <c r="A52" t="s">
        <v>50</v>
      </c>
      <c r="B52">
        <v>90.5</v>
      </c>
      <c r="C52">
        <v>102.4</v>
      </c>
      <c r="D52">
        <v>2</v>
      </c>
      <c r="E52">
        <v>16</v>
      </c>
      <c r="F52">
        <v>0</v>
      </c>
      <c r="G52">
        <v>22</v>
      </c>
    </row>
    <row r="53" spans="1:7" x14ac:dyDescent="0.2">
      <c r="A53" t="s">
        <v>51</v>
      </c>
      <c r="B53">
        <v>99.5</v>
      </c>
      <c r="C53">
        <v>102.5</v>
      </c>
      <c r="D53">
        <v>2</v>
      </c>
      <c r="E53">
        <v>27</v>
      </c>
      <c r="F53">
        <v>0</v>
      </c>
      <c r="G53">
        <v>23</v>
      </c>
    </row>
    <row r="54" spans="1:7" x14ac:dyDescent="0.2">
      <c r="A54" t="s">
        <v>52</v>
      </c>
      <c r="B54">
        <v>97.3</v>
      </c>
      <c r="C54">
        <v>103</v>
      </c>
      <c r="D54">
        <v>1</v>
      </c>
      <c r="E54">
        <v>25</v>
      </c>
      <c r="F54">
        <v>0</v>
      </c>
      <c r="G54">
        <v>23</v>
      </c>
    </row>
    <row r="55" spans="1:7" x14ac:dyDescent="0.2">
      <c r="A55" t="s">
        <v>53</v>
      </c>
      <c r="B55">
        <v>104.1</v>
      </c>
      <c r="C55">
        <v>102</v>
      </c>
      <c r="D55">
        <v>2</v>
      </c>
      <c r="E55">
        <v>24</v>
      </c>
      <c r="F55">
        <v>0</v>
      </c>
      <c r="G55">
        <v>36</v>
      </c>
    </row>
    <row r="56" spans="1:7" x14ac:dyDescent="0.2">
      <c r="A56" t="s">
        <v>54</v>
      </c>
      <c r="B56">
        <v>109.7</v>
      </c>
      <c r="C56">
        <v>99.1</v>
      </c>
      <c r="D56">
        <v>2</v>
      </c>
      <c r="E56">
        <v>28</v>
      </c>
      <c r="F56">
        <v>0</v>
      </c>
      <c r="G56">
        <v>50</v>
      </c>
    </row>
    <row r="57" spans="1:7" x14ac:dyDescent="0.2">
      <c r="A57" t="s">
        <v>55</v>
      </c>
      <c r="B57">
        <v>103.2</v>
      </c>
      <c r="C57">
        <v>100.9</v>
      </c>
      <c r="D57">
        <v>7</v>
      </c>
      <c r="E57">
        <v>11</v>
      </c>
      <c r="F57">
        <v>0</v>
      </c>
      <c r="G57">
        <v>82</v>
      </c>
    </row>
    <row r="58" spans="1:7" x14ac:dyDescent="0.2">
      <c r="A58" t="s">
        <v>56</v>
      </c>
      <c r="B58">
        <v>100.3</v>
      </c>
      <c r="C58">
        <v>103.9</v>
      </c>
      <c r="D58">
        <v>19</v>
      </c>
      <c r="E58">
        <v>5</v>
      </c>
      <c r="F58">
        <v>0</v>
      </c>
      <c r="G58">
        <v>47</v>
      </c>
    </row>
    <row r="59" spans="1:7" x14ac:dyDescent="0.2">
      <c r="A59" t="s">
        <v>57</v>
      </c>
      <c r="B59">
        <v>101.7</v>
      </c>
      <c r="C59">
        <v>104.9</v>
      </c>
      <c r="D59">
        <v>26</v>
      </c>
      <c r="E59">
        <v>4</v>
      </c>
      <c r="F59">
        <v>0</v>
      </c>
      <c r="G59">
        <v>19</v>
      </c>
    </row>
    <row r="60" spans="1:7" x14ac:dyDescent="0.2">
      <c r="A60" t="s">
        <v>58</v>
      </c>
      <c r="B60">
        <v>113.6</v>
      </c>
      <c r="C60">
        <v>106</v>
      </c>
      <c r="D60">
        <v>24</v>
      </c>
      <c r="E60">
        <v>3</v>
      </c>
      <c r="F60">
        <v>8</v>
      </c>
      <c r="G60">
        <v>17</v>
      </c>
    </row>
    <row r="61" spans="1:7" x14ac:dyDescent="0.2">
      <c r="A61" t="s">
        <v>59</v>
      </c>
      <c r="B61">
        <v>142</v>
      </c>
      <c r="C61">
        <v>104</v>
      </c>
      <c r="D61">
        <v>12</v>
      </c>
      <c r="E61">
        <v>4</v>
      </c>
      <c r="F61">
        <v>1</v>
      </c>
      <c r="G61">
        <v>11</v>
      </c>
    </row>
    <row r="62" spans="1:7" x14ac:dyDescent="0.2">
      <c r="A62" t="s">
        <v>60</v>
      </c>
      <c r="B62">
        <v>88.9</v>
      </c>
      <c r="C62">
        <v>100.6</v>
      </c>
      <c r="D62">
        <v>7</v>
      </c>
      <c r="E62">
        <v>10</v>
      </c>
      <c r="F62">
        <v>0</v>
      </c>
      <c r="G62">
        <v>20</v>
      </c>
    </row>
    <row r="63" spans="1:7" x14ac:dyDescent="0.2">
      <c r="A63" t="s">
        <v>61</v>
      </c>
      <c r="B63">
        <v>82.4</v>
      </c>
      <c r="C63">
        <v>101.5</v>
      </c>
      <c r="D63">
        <v>6</v>
      </c>
      <c r="E63">
        <v>11</v>
      </c>
      <c r="F63">
        <v>0</v>
      </c>
      <c r="G63">
        <v>18</v>
      </c>
    </row>
    <row r="64" spans="1:7" x14ac:dyDescent="0.2">
      <c r="A64" t="s">
        <v>62</v>
      </c>
      <c r="B64">
        <v>58.2</v>
      </c>
      <c r="C64">
        <v>101.2</v>
      </c>
      <c r="D64">
        <v>2</v>
      </c>
      <c r="E64">
        <v>8</v>
      </c>
      <c r="F64">
        <v>0</v>
      </c>
      <c r="G64">
        <v>14</v>
      </c>
    </row>
    <row r="65" spans="1:7" x14ac:dyDescent="0.2">
      <c r="A65" t="s">
        <v>63</v>
      </c>
      <c r="B65">
        <v>31.1</v>
      </c>
      <c r="C65">
        <v>99.5</v>
      </c>
      <c r="D65">
        <v>1</v>
      </c>
      <c r="E65">
        <v>16</v>
      </c>
      <c r="F65">
        <v>0</v>
      </c>
      <c r="G65">
        <v>11</v>
      </c>
    </row>
    <row r="66" spans="1:7" x14ac:dyDescent="0.2">
      <c r="A66" t="s">
        <v>64</v>
      </c>
      <c r="B66">
        <v>38.4</v>
      </c>
      <c r="C66">
        <v>99.8</v>
      </c>
      <c r="D66">
        <v>2</v>
      </c>
      <c r="E66">
        <v>32</v>
      </c>
      <c r="F66">
        <v>0</v>
      </c>
      <c r="G66">
        <v>16</v>
      </c>
    </row>
    <row r="67" spans="1:7" x14ac:dyDescent="0.2">
      <c r="A67" t="s">
        <v>65</v>
      </c>
      <c r="B67">
        <v>68.2</v>
      </c>
      <c r="C67">
        <v>99.7</v>
      </c>
      <c r="D67">
        <v>2</v>
      </c>
      <c r="E67">
        <v>27</v>
      </c>
      <c r="F67">
        <v>0</v>
      </c>
      <c r="G67">
        <v>29</v>
      </c>
    </row>
    <row r="68" spans="1:7" x14ac:dyDescent="0.2">
      <c r="A68" t="s">
        <v>66</v>
      </c>
      <c r="B68">
        <v>83.6</v>
      </c>
      <c r="C68">
        <v>99</v>
      </c>
      <c r="D68">
        <v>4</v>
      </c>
      <c r="E68">
        <v>17</v>
      </c>
      <c r="F68">
        <v>0</v>
      </c>
      <c r="G68">
        <v>62</v>
      </c>
    </row>
    <row r="69" spans="1:7" x14ac:dyDescent="0.2">
      <c r="A69" t="s">
        <v>67</v>
      </c>
      <c r="B69">
        <v>88</v>
      </c>
      <c r="C69">
        <v>99.5</v>
      </c>
      <c r="D69">
        <v>9</v>
      </c>
      <c r="E69">
        <v>17</v>
      </c>
      <c r="F69">
        <v>0</v>
      </c>
      <c r="G69">
        <v>100</v>
      </c>
    </row>
    <row r="70" spans="1:7" x14ac:dyDescent="0.2">
      <c r="A70" t="s">
        <v>68</v>
      </c>
      <c r="B70">
        <v>87.3</v>
      </c>
      <c r="C70">
        <v>102.4</v>
      </c>
      <c r="D70">
        <v>20</v>
      </c>
      <c r="E70">
        <v>4</v>
      </c>
      <c r="F70">
        <v>0</v>
      </c>
      <c r="G70">
        <v>60</v>
      </c>
    </row>
    <row r="71" spans="1:7" x14ac:dyDescent="0.2">
      <c r="A71" t="s">
        <v>69</v>
      </c>
      <c r="B71">
        <v>88.3</v>
      </c>
      <c r="C71">
        <v>104.9</v>
      </c>
      <c r="D71">
        <v>25</v>
      </c>
      <c r="E71">
        <v>2</v>
      </c>
      <c r="F71">
        <v>0</v>
      </c>
      <c r="G71">
        <v>21</v>
      </c>
    </row>
    <row r="72" spans="1:7" x14ac:dyDescent="0.2">
      <c r="A72" t="s">
        <v>70</v>
      </c>
      <c r="B72">
        <v>79.400000000000006</v>
      </c>
      <c r="C72">
        <v>102.1</v>
      </c>
      <c r="D72">
        <v>19</v>
      </c>
      <c r="E72">
        <v>2</v>
      </c>
      <c r="F72">
        <v>7</v>
      </c>
      <c r="G72">
        <v>20</v>
      </c>
    </row>
    <row r="73" spans="1:7" x14ac:dyDescent="0.2">
      <c r="A73" t="s">
        <v>71</v>
      </c>
      <c r="B73">
        <v>118.5</v>
      </c>
      <c r="C73">
        <v>102.2</v>
      </c>
      <c r="D73">
        <v>15</v>
      </c>
      <c r="E73">
        <v>2</v>
      </c>
      <c r="F73">
        <v>0</v>
      </c>
      <c r="G73">
        <v>12</v>
      </c>
    </row>
    <row r="74" spans="1:7" x14ac:dyDescent="0.2">
      <c r="A74" t="s">
        <v>72</v>
      </c>
      <c r="B74">
        <v>47.4</v>
      </c>
      <c r="C74">
        <v>97.2</v>
      </c>
      <c r="D74">
        <v>11</v>
      </c>
      <c r="E74">
        <v>6</v>
      </c>
      <c r="F74">
        <v>0</v>
      </c>
      <c r="G74">
        <v>9</v>
      </c>
    </row>
    <row r="75" spans="1:7" x14ac:dyDescent="0.2">
      <c r="A75" t="s">
        <v>73</v>
      </c>
      <c r="B75">
        <v>42.2</v>
      </c>
      <c r="C75">
        <v>95.7</v>
      </c>
      <c r="D75">
        <v>7</v>
      </c>
      <c r="E75">
        <v>9</v>
      </c>
      <c r="F75">
        <v>0</v>
      </c>
      <c r="G75">
        <v>18</v>
      </c>
    </row>
    <row r="76" spans="1:7" x14ac:dyDescent="0.2">
      <c r="A76" t="s">
        <v>74</v>
      </c>
      <c r="B76">
        <v>52.9</v>
      </c>
      <c r="C76">
        <v>97.2</v>
      </c>
      <c r="D76">
        <v>3</v>
      </c>
      <c r="E76">
        <v>18</v>
      </c>
      <c r="F76">
        <v>0</v>
      </c>
      <c r="G76">
        <v>40</v>
      </c>
    </row>
    <row r="77" spans="1:7" x14ac:dyDescent="0.2">
      <c r="A77" t="s">
        <v>75</v>
      </c>
      <c r="B77">
        <v>92</v>
      </c>
      <c r="C77">
        <v>99.6</v>
      </c>
      <c r="D77">
        <v>2</v>
      </c>
      <c r="E77">
        <v>23</v>
      </c>
      <c r="F77">
        <v>0</v>
      </c>
      <c r="G77">
        <v>27</v>
      </c>
    </row>
    <row r="78" spans="1:7" x14ac:dyDescent="0.2">
      <c r="A78" t="s">
        <v>76</v>
      </c>
      <c r="B78">
        <v>92.6</v>
      </c>
      <c r="C78">
        <v>101.9</v>
      </c>
      <c r="D78">
        <v>2</v>
      </c>
      <c r="E78">
        <v>20</v>
      </c>
      <c r="F78">
        <v>0</v>
      </c>
      <c r="G78">
        <v>24</v>
      </c>
    </row>
    <row r="79" spans="1:7" x14ac:dyDescent="0.2">
      <c r="A79" t="s">
        <v>77</v>
      </c>
      <c r="B79">
        <v>94.5</v>
      </c>
      <c r="C79">
        <v>102.7</v>
      </c>
      <c r="D79">
        <v>2</v>
      </c>
      <c r="E79">
        <v>51</v>
      </c>
      <c r="F79">
        <v>0</v>
      </c>
      <c r="G79">
        <v>35</v>
      </c>
    </row>
    <row r="80" spans="1:7" x14ac:dyDescent="0.2">
      <c r="A80" t="s">
        <v>78</v>
      </c>
      <c r="B80">
        <v>95.9</v>
      </c>
      <c r="C80">
        <v>100.6</v>
      </c>
      <c r="D80">
        <v>3</v>
      </c>
      <c r="E80">
        <v>36</v>
      </c>
      <c r="F80">
        <v>0</v>
      </c>
      <c r="G80">
        <v>58</v>
      </c>
    </row>
    <row r="81" spans="1:7" x14ac:dyDescent="0.2">
      <c r="A81" t="s">
        <v>79</v>
      </c>
      <c r="B81">
        <v>95.5</v>
      </c>
      <c r="C81">
        <v>100.8</v>
      </c>
      <c r="D81">
        <v>9</v>
      </c>
      <c r="E81">
        <v>11</v>
      </c>
      <c r="F81">
        <v>0</v>
      </c>
      <c r="G81">
        <v>89</v>
      </c>
    </row>
    <row r="82" spans="1:7" x14ac:dyDescent="0.2">
      <c r="A82" t="s">
        <v>80</v>
      </c>
      <c r="B82">
        <v>95.2</v>
      </c>
      <c r="C82">
        <v>103</v>
      </c>
      <c r="D82">
        <v>17</v>
      </c>
      <c r="E82">
        <v>7</v>
      </c>
      <c r="F82">
        <v>0</v>
      </c>
      <c r="G82">
        <v>55</v>
      </c>
    </row>
    <row r="83" spans="1:7" x14ac:dyDescent="0.2">
      <c r="A83" t="s">
        <v>81</v>
      </c>
      <c r="B83">
        <v>101.3</v>
      </c>
      <c r="C83">
        <v>104.6</v>
      </c>
      <c r="D83">
        <v>26</v>
      </c>
      <c r="E83">
        <v>4</v>
      </c>
      <c r="F83">
        <v>0</v>
      </c>
      <c r="G83">
        <v>21</v>
      </c>
    </row>
    <row r="84" spans="1:7" x14ac:dyDescent="0.2">
      <c r="A84" t="s">
        <v>82</v>
      </c>
      <c r="B84">
        <v>117.2</v>
      </c>
      <c r="C84">
        <v>105.7</v>
      </c>
      <c r="D84">
        <v>27</v>
      </c>
      <c r="E84">
        <v>4</v>
      </c>
      <c r="F84">
        <v>7</v>
      </c>
      <c r="G84">
        <v>19</v>
      </c>
    </row>
    <row r="85" spans="1:7" x14ac:dyDescent="0.2">
      <c r="A85" t="s">
        <v>83</v>
      </c>
      <c r="B85">
        <v>128.9</v>
      </c>
      <c r="C85">
        <v>106.4</v>
      </c>
      <c r="D85">
        <v>16</v>
      </c>
      <c r="E85">
        <v>3</v>
      </c>
      <c r="F85">
        <v>0</v>
      </c>
      <c r="G85">
        <v>12</v>
      </c>
    </row>
    <row r="86" spans="1:7" x14ac:dyDescent="0.2">
      <c r="A86" t="s">
        <v>84</v>
      </c>
      <c r="B86">
        <v>77.8</v>
      </c>
      <c r="C86">
        <v>103.3</v>
      </c>
      <c r="D86">
        <v>9</v>
      </c>
      <c r="E86">
        <v>11</v>
      </c>
      <c r="F86">
        <v>0</v>
      </c>
      <c r="G86">
        <v>21</v>
      </c>
    </row>
    <row r="87" spans="1:7" x14ac:dyDescent="0.2">
      <c r="A87" t="s">
        <v>85</v>
      </c>
      <c r="B87">
        <v>80.8</v>
      </c>
      <c r="C87">
        <v>104.2</v>
      </c>
      <c r="D87">
        <v>5</v>
      </c>
      <c r="E87">
        <v>17</v>
      </c>
      <c r="F87">
        <v>0</v>
      </c>
      <c r="G87">
        <v>18</v>
      </c>
    </row>
    <row r="88" spans="1:7" x14ac:dyDescent="0.2">
      <c r="A88" t="s">
        <v>86</v>
      </c>
      <c r="B88">
        <v>87</v>
      </c>
      <c r="C88">
        <v>106.8</v>
      </c>
      <c r="D88">
        <v>3</v>
      </c>
      <c r="E88">
        <v>28</v>
      </c>
      <c r="F88">
        <v>0</v>
      </c>
      <c r="G88">
        <v>24</v>
      </c>
    </row>
    <row r="89" spans="1:7" x14ac:dyDescent="0.2">
      <c r="A89" t="s">
        <v>87</v>
      </c>
      <c r="B89">
        <v>94.5</v>
      </c>
      <c r="C89">
        <v>107.9</v>
      </c>
      <c r="D89">
        <v>2</v>
      </c>
      <c r="E89">
        <v>32</v>
      </c>
      <c r="F89">
        <v>0</v>
      </c>
      <c r="G89">
        <v>23</v>
      </c>
    </row>
    <row r="90" spans="1:7" x14ac:dyDescent="0.2">
      <c r="A90" t="s">
        <v>88</v>
      </c>
      <c r="B90">
        <v>99.7</v>
      </c>
      <c r="C90">
        <v>109</v>
      </c>
      <c r="D90">
        <v>1</v>
      </c>
      <c r="E90">
        <v>39</v>
      </c>
      <c r="F90">
        <v>0</v>
      </c>
      <c r="G90">
        <v>24</v>
      </c>
    </row>
    <row r="91" spans="1:7" x14ac:dyDescent="0.2">
      <c r="A91" t="s">
        <v>89</v>
      </c>
      <c r="B91">
        <v>99.5</v>
      </c>
      <c r="C91">
        <v>109.1</v>
      </c>
      <c r="D91">
        <v>2</v>
      </c>
      <c r="E91">
        <v>42</v>
      </c>
      <c r="F91">
        <v>0</v>
      </c>
      <c r="G91">
        <v>37</v>
      </c>
    </row>
    <row r="92" spans="1:7" x14ac:dyDescent="0.2">
      <c r="A92" t="s">
        <v>90</v>
      </c>
      <c r="B92">
        <v>103.3</v>
      </c>
      <c r="C92">
        <v>107.3</v>
      </c>
      <c r="D92">
        <v>3</v>
      </c>
      <c r="E92">
        <v>48</v>
      </c>
      <c r="F92">
        <v>0</v>
      </c>
      <c r="G92">
        <v>64</v>
      </c>
    </row>
    <row r="93" spans="1:7" x14ac:dyDescent="0.2">
      <c r="A93" t="s">
        <v>91</v>
      </c>
      <c r="B93">
        <v>94.3</v>
      </c>
      <c r="C93">
        <v>108.5</v>
      </c>
      <c r="D93">
        <v>7</v>
      </c>
      <c r="E93">
        <v>25</v>
      </c>
      <c r="F93">
        <v>0</v>
      </c>
      <c r="G93">
        <v>85</v>
      </c>
    </row>
    <row r="94" spans="1:7" x14ac:dyDescent="0.2">
      <c r="A94" t="s">
        <v>92</v>
      </c>
      <c r="B94">
        <v>93.9</v>
      </c>
      <c r="C94">
        <v>111.7</v>
      </c>
      <c r="D94">
        <v>20</v>
      </c>
      <c r="E94">
        <v>6</v>
      </c>
      <c r="F94">
        <v>0</v>
      </c>
      <c r="G94">
        <v>55</v>
      </c>
    </row>
    <row r="95" spans="1:7" x14ac:dyDescent="0.2">
      <c r="A95" t="s">
        <v>93</v>
      </c>
      <c r="B95">
        <v>100</v>
      </c>
      <c r="C95">
        <v>113.5</v>
      </c>
      <c r="D95">
        <v>17</v>
      </c>
      <c r="E95">
        <v>4</v>
      </c>
      <c r="F95">
        <v>0</v>
      </c>
      <c r="G95">
        <v>22</v>
      </c>
    </row>
    <row r="96" spans="1:7" x14ac:dyDescent="0.2">
      <c r="A96" t="s">
        <v>94</v>
      </c>
      <c r="B96">
        <v>117.1</v>
      </c>
      <c r="C96">
        <v>113.6</v>
      </c>
      <c r="D96">
        <v>18</v>
      </c>
      <c r="E96">
        <v>4</v>
      </c>
      <c r="F96">
        <v>6</v>
      </c>
      <c r="G96">
        <v>21</v>
      </c>
    </row>
    <row r="97" spans="1:7" x14ac:dyDescent="0.2">
      <c r="A97" t="s">
        <v>95</v>
      </c>
      <c r="B97">
        <v>141.5</v>
      </c>
      <c r="C97">
        <v>113.3</v>
      </c>
      <c r="D97">
        <v>19</v>
      </c>
      <c r="E97">
        <v>4</v>
      </c>
      <c r="F97">
        <v>0</v>
      </c>
      <c r="G97">
        <v>12</v>
      </c>
    </row>
    <row r="98" spans="1:7" x14ac:dyDescent="0.2">
      <c r="A98" t="s">
        <v>96</v>
      </c>
      <c r="B98">
        <v>87.2</v>
      </c>
      <c r="C98">
        <v>109.8</v>
      </c>
      <c r="D98">
        <v>8</v>
      </c>
      <c r="E98">
        <v>11</v>
      </c>
      <c r="F98">
        <v>0</v>
      </c>
      <c r="G98">
        <v>21</v>
      </c>
    </row>
    <row r="99" spans="1:7" x14ac:dyDescent="0.2">
      <c r="A99" t="s">
        <v>97</v>
      </c>
      <c r="B99">
        <v>84.4</v>
      </c>
      <c r="C99">
        <v>112.6</v>
      </c>
      <c r="D99">
        <v>4</v>
      </c>
      <c r="E99">
        <v>14</v>
      </c>
      <c r="F99">
        <v>0</v>
      </c>
      <c r="G99">
        <v>18</v>
      </c>
    </row>
    <row r="100" spans="1:7" x14ac:dyDescent="0.2">
      <c r="A100" t="s">
        <v>98</v>
      </c>
      <c r="B100">
        <v>89.1</v>
      </c>
      <c r="C100">
        <v>114.4</v>
      </c>
      <c r="D100">
        <v>4</v>
      </c>
      <c r="E100">
        <v>18</v>
      </c>
      <c r="F100">
        <v>0</v>
      </c>
      <c r="G100">
        <v>22</v>
      </c>
    </row>
    <row r="101" spans="1:7" x14ac:dyDescent="0.2">
      <c r="A101" t="s">
        <v>99</v>
      </c>
      <c r="B101">
        <v>97.1</v>
      </c>
      <c r="C101">
        <v>115.2</v>
      </c>
      <c r="D101">
        <v>2</v>
      </c>
      <c r="E101">
        <v>26</v>
      </c>
      <c r="F101">
        <v>0</v>
      </c>
      <c r="G101">
        <v>22</v>
      </c>
    </row>
    <row r="102" spans="1:7" x14ac:dyDescent="0.2">
      <c r="A102" t="s">
        <v>100</v>
      </c>
      <c r="B102">
        <v>99.9</v>
      </c>
      <c r="C102">
        <v>116.7</v>
      </c>
      <c r="D102">
        <v>1</v>
      </c>
      <c r="E102">
        <v>36</v>
      </c>
      <c r="F102">
        <v>0</v>
      </c>
      <c r="G102">
        <v>25</v>
      </c>
    </row>
    <row r="103" spans="1:7" x14ac:dyDescent="0.2">
      <c r="A103" t="s">
        <v>101</v>
      </c>
      <c r="B103">
        <v>101.7</v>
      </c>
      <c r="C103">
        <v>116.9</v>
      </c>
      <c r="D103">
        <v>1</v>
      </c>
      <c r="E103">
        <v>53</v>
      </c>
      <c r="F103">
        <v>0</v>
      </c>
      <c r="G103">
        <v>36</v>
      </c>
    </row>
    <row r="104" spans="1:7" x14ac:dyDescent="0.2">
      <c r="A104" t="s">
        <v>102</v>
      </c>
      <c r="B104">
        <v>102.2</v>
      </c>
      <c r="C104">
        <v>114.4</v>
      </c>
      <c r="D104">
        <v>3</v>
      </c>
      <c r="E104">
        <v>19</v>
      </c>
      <c r="F104">
        <v>0</v>
      </c>
      <c r="G104">
        <v>56</v>
      </c>
    </row>
    <row r="105" spans="1:7" x14ac:dyDescent="0.2">
      <c r="A105" t="s">
        <v>103</v>
      </c>
      <c r="B105">
        <v>96.9</v>
      </c>
      <c r="C105">
        <v>116.1</v>
      </c>
      <c r="D105">
        <v>6</v>
      </c>
      <c r="E105">
        <v>10</v>
      </c>
      <c r="F105">
        <v>0</v>
      </c>
      <c r="G105">
        <v>76</v>
      </c>
    </row>
    <row r="106" spans="1:7" x14ac:dyDescent="0.2">
      <c r="A106" t="s">
        <v>104</v>
      </c>
      <c r="B106">
        <v>91.9</v>
      </c>
      <c r="C106">
        <v>119.5</v>
      </c>
      <c r="D106">
        <v>12</v>
      </c>
      <c r="E106">
        <v>10</v>
      </c>
      <c r="F106">
        <v>0</v>
      </c>
      <c r="G106">
        <v>56</v>
      </c>
    </row>
    <row r="107" spans="1:7" x14ac:dyDescent="0.2">
      <c r="A107" t="s">
        <v>105</v>
      </c>
      <c r="B107">
        <v>98.2</v>
      </c>
      <c r="C107">
        <v>120.5</v>
      </c>
      <c r="D107">
        <v>17</v>
      </c>
      <c r="E107">
        <v>4</v>
      </c>
      <c r="F107">
        <v>0</v>
      </c>
      <c r="G107">
        <v>22</v>
      </c>
    </row>
    <row r="108" spans="1:7" x14ac:dyDescent="0.2">
      <c r="A108" t="s">
        <v>106</v>
      </c>
      <c r="B108">
        <v>115.4</v>
      </c>
      <c r="C108">
        <v>120.1</v>
      </c>
      <c r="D108">
        <v>20</v>
      </c>
      <c r="E108">
        <v>3</v>
      </c>
      <c r="F108">
        <v>6</v>
      </c>
      <c r="G108">
        <v>19</v>
      </c>
    </row>
    <row r="109" spans="1:7" x14ac:dyDescent="0.2">
      <c r="A109" t="s">
        <v>107</v>
      </c>
      <c r="B109">
        <v>132.30000000000001</v>
      </c>
      <c r="C109">
        <v>120.6</v>
      </c>
      <c r="D109">
        <v>12</v>
      </c>
      <c r="E109">
        <v>4</v>
      </c>
      <c r="F109">
        <v>0</v>
      </c>
      <c r="G109">
        <v>12</v>
      </c>
    </row>
    <row r="110" spans="1:7" x14ac:dyDescent="0.2">
      <c r="A110" t="s">
        <v>108</v>
      </c>
      <c r="B110">
        <v>81.900000000000006</v>
      </c>
      <c r="C110">
        <v>115.9</v>
      </c>
      <c r="D110">
        <v>9</v>
      </c>
      <c r="E110">
        <v>11</v>
      </c>
      <c r="F110">
        <v>0</v>
      </c>
      <c r="G110">
        <v>20</v>
      </c>
    </row>
    <row r="111" spans="1:7" x14ac:dyDescent="0.2">
      <c r="A111" t="s">
        <v>109</v>
      </c>
      <c r="B111">
        <v>78.900000000000006</v>
      </c>
      <c r="C111">
        <v>118.3</v>
      </c>
      <c r="D111">
        <v>3</v>
      </c>
      <c r="E111">
        <v>13</v>
      </c>
      <c r="F111">
        <v>0</v>
      </c>
      <c r="G111">
        <v>15</v>
      </c>
    </row>
    <row r="112" spans="1:7" x14ac:dyDescent="0.2">
      <c r="A112" t="s">
        <v>110</v>
      </c>
      <c r="B112">
        <v>86.2</v>
      </c>
      <c r="C112">
        <v>119</v>
      </c>
      <c r="D112">
        <v>2</v>
      </c>
      <c r="E112">
        <v>17</v>
      </c>
      <c r="F112">
        <v>0</v>
      </c>
      <c r="G112">
        <v>20</v>
      </c>
    </row>
    <row r="113" spans="1:7" x14ac:dyDescent="0.2">
      <c r="A113" t="s">
        <v>111</v>
      </c>
      <c r="B113">
        <v>86.5</v>
      </c>
      <c r="C113">
        <v>119.5</v>
      </c>
      <c r="D113">
        <v>2</v>
      </c>
      <c r="E113">
        <v>22</v>
      </c>
      <c r="F113">
        <v>0</v>
      </c>
      <c r="G113">
        <v>22</v>
      </c>
    </row>
    <row r="114" spans="1:7" x14ac:dyDescent="0.2">
      <c r="A114" t="s">
        <v>112</v>
      </c>
      <c r="B114">
        <v>97</v>
      </c>
      <c r="C114">
        <v>120.2</v>
      </c>
      <c r="D114">
        <v>1</v>
      </c>
      <c r="E114">
        <v>34</v>
      </c>
      <c r="F114">
        <v>0</v>
      </c>
      <c r="G114">
        <v>22</v>
      </c>
    </row>
    <row r="115" spans="1:7" x14ac:dyDescent="0.2">
      <c r="A115" t="s">
        <v>113</v>
      </c>
      <c r="B115">
        <v>95.1</v>
      </c>
      <c r="C115">
        <v>118.8</v>
      </c>
      <c r="D115">
        <v>1</v>
      </c>
      <c r="E115">
        <v>29</v>
      </c>
      <c r="F115">
        <v>0</v>
      </c>
      <c r="G115">
        <v>32</v>
      </c>
    </row>
    <row r="116" spans="1:7" x14ac:dyDescent="0.2">
      <c r="A116" t="s">
        <v>114</v>
      </c>
      <c r="B116">
        <v>98.6</v>
      </c>
      <c r="C116">
        <v>116.8</v>
      </c>
      <c r="D116">
        <v>2</v>
      </c>
      <c r="E116">
        <v>22</v>
      </c>
      <c r="F116">
        <v>0</v>
      </c>
      <c r="G116">
        <v>52</v>
      </c>
    </row>
    <row r="117" spans="1:7" x14ac:dyDescent="0.2">
      <c r="A117" t="s">
        <v>115</v>
      </c>
      <c r="B117">
        <v>96.3</v>
      </c>
      <c r="C117">
        <v>118</v>
      </c>
      <c r="D117">
        <v>6</v>
      </c>
      <c r="E117">
        <v>13</v>
      </c>
      <c r="F117">
        <v>0</v>
      </c>
      <c r="G117">
        <v>70</v>
      </c>
    </row>
    <row r="118" spans="1:7" x14ac:dyDescent="0.2">
      <c r="A118" t="s">
        <v>116</v>
      </c>
      <c r="B118">
        <v>94.1</v>
      </c>
      <c r="C118">
        <v>120.5</v>
      </c>
      <c r="D118">
        <v>18</v>
      </c>
      <c r="E118">
        <v>6</v>
      </c>
      <c r="F118">
        <v>0</v>
      </c>
      <c r="G118">
        <v>45</v>
      </c>
    </row>
    <row r="119" spans="1:7" x14ac:dyDescent="0.2">
      <c r="A119" t="s">
        <v>117</v>
      </c>
      <c r="B119">
        <v>95.3</v>
      </c>
      <c r="C119">
        <v>121.8</v>
      </c>
      <c r="D119">
        <v>15</v>
      </c>
      <c r="E119">
        <v>3</v>
      </c>
      <c r="F119">
        <v>0</v>
      </c>
      <c r="G119">
        <v>17</v>
      </c>
    </row>
    <row r="120" spans="1:7" x14ac:dyDescent="0.2">
      <c r="A120" t="s">
        <v>118</v>
      </c>
      <c r="B120">
        <v>105.4</v>
      </c>
      <c r="C120">
        <v>122.6</v>
      </c>
      <c r="D120">
        <v>18</v>
      </c>
      <c r="E120">
        <v>3</v>
      </c>
      <c r="F120">
        <v>6</v>
      </c>
      <c r="G120">
        <v>15</v>
      </c>
    </row>
    <row r="121" spans="1:7" x14ac:dyDescent="0.2">
      <c r="A121" t="s">
        <v>119</v>
      </c>
      <c r="B121">
        <v>131.19999999999999</v>
      </c>
      <c r="C121">
        <v>121.9</v>
      </c>
      <c r="D121">
        <v>10</v>
      </c>
      <c r="E121">
        <v>4</v>
      </c>
      <c r="F121">
        <v>1</v>
      </c>
      <c r="G121">
        <v>12</v>
      </c>
    </row>
    <row r="122" spans="1:7" x14ac:dyDescent="0.2">
      <c r="A122" t="s">
        <v>120</v>
      </c>
      <c r="B122">
        <v>78.599999999999994</v>
      </c>
      <c r="C122">
        <v>117.9</v>
      </c>
      <c r="D122">
        <v>8</v>
      </c>
      <c r="E122">
        <v>9</v>
      </c>
      <c r="F122">
        <v>0</v>
      </c>
      <c r="G122">
        <v>18</v>
      </c>
    </row>
    <row r="123" spans="1:7" x14ac:dyDescent="0.2">
      <c r="A123" t="s">
        <v>121</v>
      </c>
      <c r="B123">
        <v>79.7</v>
      </c>
      <c r="C123">
        <v>117.6</v>
      </c>
      <c r="D123">
        <v>4</v>
      </c>
      <c r="E123">
        <v>12</v>
      </c>
      <c r="F123">
        <v>0</v>
      </c>
      <c r="G123">
        <v>14</v>
      </c>
    </row>
    <row r="124" spans="1:7" x14ac:dyDescent="0.2">
      <c r="A124" t="s">
        <v>122</v>
      </c>
      <c r="B124">
        <v>87.5</v>
      </c>
      <c r="C124">
        <v>120.3</v>
      </c>
      <c r="D124">
        <v>2</v>
      </c>
      <c r="E124">
        <v>17</v>
      </c>
      <c r="F124">
        <v>0</v>
      </c>
      <c r="G124">
        <v>21</v>
      </c>
    </row>
    <row r="125" spans="1:7" x14ac:dyDescent="0.2">
      <c r="A125" t="s">
        <v>123</v>
      </c>
      <c r="B125">
        <v>92.4</v>
      </c>
      <c r="C125">
        <v>118.9</v>
      </c>
      <c r="D125">
        <v>1</v>
      </c>
      <c r="E125">
        <v>26</v>
      </c>
      <c r="F125">
        <v>0</v>
      </c>
      <c r="G125">
        <v>23</v>
      </c>
    </row>
    <row r="126" spans="1:7" x14ac:dyDescent="0.2">
      <c r="A126" t="s">
        <v>124</v>
      </c>
      <c r="B126">
        <v>92.8</v>
      </c>
      <c r="C126">
        <v>119.8</v>
      </c>
      <c r="D126">
        <v>1</v>
      </c>
      <c r="E126">
        <v>29</v>
      </c>
      <c r="F126">
        <v>0</v>
      </c>
      <c r="G126">
        <v>22</v>
      </c>
    </row>
    <row r="127" spans="1:7" x14ac:dyDescent="0.2">
      <c r="A127" t="s">
        <v>125</v>
      </c>
      <c r="B127">
        <v>94.5</v>
      </c>
      <c r="C127">
        <v>119.4</v>
      </c>
      <c r="D127">
        <v>1</v>
      </c>
      <c r="E127">
        <v>32</v>
      </c>
      <c r="F127">
        <v>0</v>
      </c>
      <c r="G127">
        <v>34</v>
      </c>
    </row>
    <row r="128" spans="1:7" x14ac:dyDescent="0.2">
      <c r="A128" t="s">
        <v>126</v>
      </c>
      <c r="B128">
        <v>101.7</v>
      </c>
      <c r="C128">
        <v>117.1</v>
      </c>
      <c r="D128">
        <v>2</v>
      </c>
      <c r="E128">
        <v>27</v>
      </c>
      <c r="F128">
        <v>0</v>
      </c>
      <c r="G128">
        <v>54</v>
      </c>
    </row>
    <row r="129" spans="1:7" x14ac:dyDescent="0.2">
      <c r="A129" t="s">
        <v>127</v>
      </c>
      <c r="B129">
        <v>98.5</v>
      </c>
      <c r="C129">
        <v>118.2</v>
      </c>
      <c r="D129">
        <v>6</v>
      </c>
      <c r="E129">
        <v>14</v>
      </c>
      <c r="F129">
        <v>0</v>
      </c>
      <c r="G129">
        <v>73</v>
      </c>
    </row>
    <row r="130" spans="1:7" x14ac:dyDescent="0.2">
      <c r="A130" t="s">
        <v>128</v>
      </c>
      <c r="B130">
        <v>99.7</v>
      </c>
      <c r="C130">
        <v>121</v>
      </c>
      <c r="D130">
        <v>14</v>
      </c>
      <c r="E130">
        <v>6</v>
      </c>
      <c r="F130">
        <v>0</v>
      </c>
      <c r="G130">
        <v>43</v>
      </c>
    </row>
    <row r="131" spans="1:7" x14ac:dyDescent="0.2">
      <c r="A131" t="s">
        <v>129</v>
      </c>
      <c r="B131">
        <v>100.2</v>
      </c>
      <c r="C131">
        <v>122.2</v>
      </c>
      <c r="D131">
        <v>13</v>
      </c>
      <c r="E131">
        <v>4</v>
      </c>
      <c r="F131">
        <v>0</v>
      </c>
      <c r="G131">
        <v>16</v>
      </c>
    </row>
    <row r="132" spans="1:7" x14ac:dyDescent="0.2">
      <c r="A132" t="s">
        <v>130</v>
      </c>
      <c r="B132">
        <v>117.3</v>
      </c>
      <c r="C132">
        <v>121.8</v>
      </c>
      <c r="D132">
        <v>16</v>
      </c>
      <c r="E132">
        <v>4</v>
      </c>
      <c r="F132">
        <v>7</v>
      </c>
      <c r="G132">
        <v>16</v>
      </c>
    </row>
    <row r="133" spans="1:7" x14ac:dyDescent="0.2">
      <c r="A133" t="s">
        <v>131</v>
      </c>
      <c r="B133">
        <v>133.30000000000001</v>
      </c>
      <c r="C133">
        <v>122</v>
      </c>
      <c r="D133">
        <v>11</v>
      </c>
      <c r="E133">
        <v>5</v>
      </c>
      <c r="F133">
        <v>1</v>
      </c>
      <c r="G133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30C7-889E-F148-BC6D-26530FF196B1}">
  <dimension ref="A1:D8"/>
  <sheetViews>
    <sheetView tabSelected="1" workbookViewId="0">
      <selection activeCell="B3" sqref="B3"/>
    </sheetView>
  </sheetViews>
  <sheetFormatPr baseColWidth="10" defaultRowHeight="16" x14ac:dyDescent="0.2"/>
  <sheetData>
    <row r="1" spans="1:4" x14ac:dyDescent="0.2">
      <c r="A1" s="2" t="s">
        <v>139</v>
      </c>
      <c r="B1" s="1" t="s">
        <v>140</v>
      </c>
      <c r="C1" s="2" t="s">
        <v>141</v>
      </c>
      <c r="D1" s="2" t="s">
        <v>142</v>
      </c>
    </row>
    <row r="2" spans="1:4" x14ac:dyDescent="0.2">
      <c r="A2" t="s">
        <v>133</v>
      </c>
      <c r="B2" t="s">
        <v>143</v>
      </c>
      <c r="C2" t="s">
        <v>144</v>
      </c>
      <c r="D2" t="s">
        <v>145</v>
      </c>
    </row>
    <row r="3" spans="1:4" x14ac:dyDescent="0.2">
      <c r="A3" t="s">
        <v>146</v>
      </c>
      <c r="B3" t="s">
        <v>161</v>
      </c>
      <c r="C3" t="s">
        <v>147</v>
      </c>
      <c r="D3" t="s">
        <v>148</v>
      </c>
    </row>
    <row r="4" spans="1:4" x14ac:dyDescent="0.2">
      <c r="A4" t="s">
        <v>134</v>
      </c>
      <c r="B4" t="s">
        <v>149</v>
      </c>
      <c r="C4" t="s">
        <v>150</v>
      </c>
      <c r="D4" t="s">
        <v>148</v>
      </c>
    </row>
    <row r="5" spans="1:4" x14ac:dyDescent="0.2">
      <c r="A5" t="s">
        <v>135</v>
      </c>
      <c r="B5" t="s">
        <v>151</v>
      </c>
      <c r="C5" t="s">
        <v>152</v>
      </c>
      <c r="D5" t="s">
        <v>153</v>
      </c>
    </row>
    <row r="6" spans="1:4" x14ac:dyDescent="0.2">
      <c r="A6" t="s">
        <v>136</v>
      </c>
      <c r="B6" t="s">
        <v>154</v>
      </c>
      <c r="C6" t="s">
        <v>152</v>
      </c>
      <c r="D6" t="s">
        <v>153</v>
      </c>
    </row>
    <row r="7" spans="1:4" x14ac:dyDescent="0.2">
      <c r="A7" t="s">
        <v>137</v>
      </c>
      <c r="B7" t="s">
        <v>155</v>
      </c>
      <c r="C7" t="s">
        <v>152</v>
      </c>
      <c r="D7" t="s">
        <v>153</v>
      </c>
    </row>
    <row r="8" spans="1:4" x14ac:dyDescent="0.2">
      <c r="A8" t="s">
        <v>138</v>
      </c>
      <c r="B8" t="s">
        <v>156</v>
      </c>
      <c r="C8" t="s">
        <v>152</v>
      </c>
      <c r="D8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992B-703C-5242-8CCD-D66A59143ACC}">
  <dimension ref="A1:B133"/>
  <sheetViews>
    <sheetView workbookViewId="0">
      <selection activeCell="P26" sqref="P26"/>
    </sheetView>
  </sheetViews>
  <sheetFormatPr baseColWidth="10" defaultRowHeight="16" x14ac:dyDescent="0.2"/>
  <sheetData>
    <row r="1" spans="1:2" x14ac:dyDescent="0.2">
      <c r="A1" s="1" t="s">
        <v>133</v>
      </c>
      <c r="B1" s="1" t="s">
        <v>134</v>
      </c>
    </row>
    <row r="2" spans="1:2" x14ac:dyDescent="0.2">
      <c r="A2" t="s">
        <v>0</v>
      </c>
      <c r="B2">
        <v>98</v>
      </c>
    </row>
    <row r="3" spans="1:2" x14ac:dyDescent="0.2">
      <c r="A3" t="s">
        <v>1</v>
      </c>
      <c r="B3">
        <v>99.3</v>
      </c>
    </row>
    <row r="4" spans="1:2" x14ac:dyDescent="0.2">
      <c r="A4" t="s">
        <v>2</v>
      </c>
      <c r="B4">
        <v>99.2</v>
      </c>
    </row>
    <row r="5" spans="1:2" x14ac:dyDescent="0.2">
      <c r="A5" t="s">
        <v>3</v>
      </c>
      <c r="B5">
        <v>99.9</v>
      </c>
    </row>
    <row r="6" spans="1:2" x14ac:dyDescent="0.2">
      <c r="A6" t="s">
        <v>4</v>
      </c>
      <c r="B6">
        <v>100.5</v>
      </c>
    </row>
    <row r="7" spans="1:2" x14ac:dyDescent="0.2">
      <c r="A7" t="s">
        <v>5</v>
      </c>
      <c r="B7">
        <v>100.1</v>
      </c>
    </row>
    <row r="8" spans="1:2" x14ac:dyDescent="0.2">
      <c r="A8" t="s">
        <v>6</v>
      </c>
      <c r="B8">
        <v>96.7</v>
      </c>
    </row>
    <row r="9" spans="1:2" x14ac:dyDescent="0.2">
      <c r="A9" t="s">
        <v>7</v>
      </c>
      <c r="B9">
        <v>98.2</v>
      </c>
    </row>
    <row r="10" spans="1:2" x14ac:dyDescent="0.2">
      <c r="A10" t="s">
        <v>8</v>
      </c>
      <c r="B10">
        <v>100.9</v>
      </c>
    </row>
    <row r="11" spans="1:2" x14ac:dyDescent="0.2">
      <c r="A11" t="s">
        <v>9</v>
      </c>
      <c r="B11">
        <v>102.9</v>
      </c>
    </row>
    <row r="12" spans="1:2" x14ac:dyDescent="0.2">
      <c r="A12" t="s">
        <v>10</v>
      </c>
      <c r="B12">
        <v>102.8</v>
      </c>
    </row>
    <row r="13" spans="1:2" x14ac:dyDescent="0.2">
      <c r="A13" t="s">
        <v>11</v>
      </c>
      <c r="B13">
        <v>101.5</v>
      </c>
    </row>
    <row r="14" spans="1:2" x14ac:dyDescent="0.2">
      <c r="A14" t="s">
        <v>12</v>
      </c>
      <c r="B14">
        <v>98.3</v>
      </c>
    </row>
    <row r="15" spans="1:2" x14ac:dyDescent="0.2">
      <c r="A15" t="s">
        <v>13</v>
      </c>
      <c r="B15">
        <v>99.6</v>
      </c>
    </row>
    <row r="16" spans="1:2" x14ac:dyDescent="0.2">
      <c r="A16" t="s">
        <v>14</v>
      </c>
      <c r="B16">
        <v>100.6</v>
      </c>
    </row>
    <row r="17" spans="1:2" x14ac:dyDescent="0.2">
      <c r="A17" t="s">
        <v>15</v>
      </c>
      <c r="B17">
        <v>100.3</v>
      </c>
    </row>
    <row r="18" spans="1:2" x14ac:dyDescent="0.2">
      <c r="A18" t="s">
        <v>16</v>
      </c>
      <c r="B18">
        <v>100.1</v>
      </c>
    </row>
    <row r="19" spans="1:2" x14ac:dyDescent="0.2">
      <c r="A19" t="s">
        <v>17</v>
      </c>
      <c r="B19">
        <v>99.4</v>
      </c>
    </row>
    <row r="20" spans="1:2" x14ac:dyDescent="0.2">
      <c r="A20" t="s">
        <v>18</v>
      </c>
      <c r="B20">
        <v>96</v>
      </c>
    </row>
    <row r="21" spans="1:2" x14ac:dyDescent="0.2">
      <c r="A21" t="s">
        <v>19</v>
      </c>
      <c r="B21">
        <v>97</v>
      </c>
    </row>
    <row r="22" spans="1:2" x14ac:dyDescent="0.2">
      <c r="A22" t="s">
        <v>20</v>
      </c>
      <c r="B22">
        <v>102</v>
      </c>
    </row>
    <row r="23" spans="1:2" x14ac:dyDescent="0.2">
      <c r="A23" t="s">
        <v>21</v>
      </c>
      <c r="B23">
        <v>102.3</v>
      </c>
    </row>
    <row r="24" spans="1:2" x14ac:dyDescent="0.2">
      <c r="A24" t="s">
        <v>22</v>
      </c>
      <c r="B24">
        <v>103.7</v>
      </c>
    </row>
    <row r="25" spans="1:2" x14ac:dyDescent="0.2">
      <c r="A25" t="s">
        <v>23</v>
      </c>
      <c r="B25">
        <v>102.7</v>
      </c>
    </row>
    <row r="26" spans="1:2" x14ac:dyDescent="0.2">
      <c r="A26" t="s">
        <v>24</v>
      </c>
      <c r="B26">
        <v>98.3</v>
      </c>
    </row>
    <row r="27" spans="1:2" x14ac:dyDescent="0.2">
      <c r="A27" t="s">
        <v>25</v>
      </c>
      <c r="B27">
        <v>99.5</v>
      </c>
    </row>
    <row r="28" spans="1:2" x14ac:dyDescent="0.2">
      <c r="A28" t="s">
        <v>26</v>
      </c>
      <c r="B28">
        <v>101.6</v>
      </c>
    </row>
    <row r="29" spans="1:2" x14ac:dyDescent="0.2">
      <c r="A29" t="s">
        <v>27</v>
      </c>
      <c r="B29">
        <v>102.7</v>
      </c>
    </row>
    <row r="30" spans="1:2" x14ac:dyDescent="0.2">
      <c r="A30" t="s">
        <v>28</v>
      </c>
      <c r="B30">
        <v>103.2</v>
      </c>
    </row>
    <row r="31" spans="1:2" x14ac:dyDescent="0.2">
      <c r="A31" t="s">
        <v>29</v>
      </c>
      <c r="B31">
        <v>102.1</v>
      </c>
    </row>
    <row r="32" spans="1:2" x14ac:dyDescent="0.2">
      <c r="A32" t="s">
        <v>30</v>
      </c>
      <c r="B32">
        <v>99.1</v>
      </c>
    </row>
    <row r="33" spans="1:2" x14ac:dyDescent="0.2">
      <c r="A33" t="s">
        <v>31</v>
      </c>
      <c r="B33">
        <v>101.5</v>
      </c>
    </row>
    <row r="34" spans="1:2" x14ac:dyDescent="0.2">
      <c r="A34" t="s">
        <v>32</v>
      </c>
      <c r="B34">
        <v>105.4</v>
      </c>
    </row>
    <row r="35" spans="1:2" x14ac:dyDescent="0.2">
      <c r="A35" t="s">
        <v>33</v>
      </c>
      <c r="B35">
        <v>105.5</v>
      </c>
    </row>
    <row r="36" spans="1:2" x14ac:dyDescent="0.2">
      <c r="A36" t="s">
        <v>34</v>
      </c>
      <c r="B36">
        <v>106.8</v>
      </c>
    </row>
    <row r="37" spans="1:2" x14ac:dyDescent="0.2">
      <c r="A37" t="s">
        <v>35</v>
      </c>
      <c r="B37">
        <v>105.8</v>
      </c>
    </row>
    <row r="38" spans="1:2" x14ac:dyDescent="0.2">
      <c r="A38" t="s">
        <v>36</v>
      </c>
      <c r="B38">
        <v>101.7</v>
      </c>
    </row>
    <row r="39" spans="1:2" x14ac:dyDescent="0.2">
      <c r="A39" t="s">
        <v>37</v>
      </c>
      <c r="B39">
        <v>103.4</v>
      </c>
    </row>
    <row r="40" spans="1:2" x14ac:dyDescent="0.2">
      <c r="A40" t="s">
        <v>38</v>
      </c>
      <c r="B40">
        <v>104.1</v>
      </c>
    </row>
    <row r="41" spans="1:2" x14ac:dyDescent="0.2">
      <c r="A41" t="s">
        <v>39</v>
      </c>
      <c r="B41">
        <v>104.5</v>
      </c>
    </row>
    <row r="42" spans="1:2" x14ac:dyDescent="0.2">
      <c r="A42" t="s">
        <v>40</v>
      </c>
      <c r="B42">
        <v>104.7</v>
      </c>
    </row>
    <row r="43" spans="1:2" x14ac:dyDescent="0.2">
      <c r="A43" t="s">
        <v>41</v>
      </c>
      <c r="B43">
        <v>102.5</v>
      </c>
    </row>
    <row r="44" spans="1:2" x14ac:dyDescent="0.2">
      <c r="A44" t="s">
        <v>42</v>
      </c>
      <c r="B44">
        <v>98.7</v>
      </c>
    </row>
    <row r="45" spans="1:2" x14ac:dyDescent="0.2">
      <c r="A45" t="s">
        <v>43</v>
      </c>
      <c r="B45">
        <v>101.8</v>
      </c>
    </row>
    <row r="46" spans="1:2" x14ac:dyDescent="0.2">
      <c r="A46" t="s">
        <v>44</v>
      </c>
      <c r="B46">
        <v>104.9</v>
      </c>
    </row>
    <row r="47" spans="1:2" x14ac:dyDescent="0.2">
      <c r="A47" t="s">
        <v>45</v>
      </c>
      <c r="B47">
        <v>104.4</v>
      </c>
    </row>
    <row r="48" spans="1:2" x14ac:dyDescent="0.2">
      <c r="A48" t="s">
        <v>46</v>
      </c>
      <c r="B48">
        <v>106</v>
      </c>
    </row>
    <row r="49" spans="1:2" x14ac:dyDescent="0.2">
      <c r="A49" t="s">
        <v>47</v>
      </c>
      <c r="B49">
        <v>104.9</v>
      </c>
    </row>
    <row r="50" spans="1:2" x14ac:dyDescent="0.2">
      <c r="A50" t="s">
        <v>48</v>
      </c>
      <c r="B50">
        <v>100.4</v>
      </c>
    </row>
    <row r="51" spans="1:2" x14ac:dyDescent="0.2">
      <c r="A51" t="s">
        <v>49</v>
      </c>
      <c r="B51">
        <v>101.3</v>
      </c>
    </row>
    <row r="52" spans="1:2" x14ac:dyDescent="0.2">
      <c r="A52" t="s">
        <v>50</v>
      </c>
      <c r="B52">
        <v>102.4</v>
      </c>
    </row>
    <row r="53" spans="1:2" x14ac:dyDescent="0.2">
      <c r="A53" t="s">
        <v>51</v>
      </c>
      <c r="B53">
        <v>102.5</v>
      </c>
    </row>
    <row r="54" spans="1:2" x14ac:dyDescent="0.2">
      <c r="A54" t="s">
        <v>52</v>
      </c>
      <c r="B54">
        <v>103</v>
      </c>
    </row>
    <row r="55" spans="1:2" x14ac:dyDescent="0.2">
      <c r="A55" t="s">
        <v>53</v>
      </c>
      <c r="B55">
        <v>102</v>
      </c>
    </row>
    <row r="56" spans="1:2" x14ac:dyDescent="0.2">
      <c r="A56" t="s">
        <v>54</v>
      </c>
      <c r="B56">
        <v>99.1</v>
      </c>
    </row>
    <row r="57" spans="1:2" x14ac:dyDescent="0.2">
      <c r="A57" t="s">
        <v>55</v>
      </c>
      <c r="B57">
        <v>100.9</v>
      </c>
    </row>
    <row r="58" spans="1:2" x14ac:dyDescent="0.2">
      <c r="A58" t="s">
        <v>56</v>
      </c>
      <c r="B58">
        <v>103.9</v>
      </c>
    </row>
    <row r="59" spans="1:2" x14ac:dyDescent="0.2">
      <c r="A59" t="s">
        <v>57</v>
      </c>
      <c r="B59">
        <v>104.9</v>
      </c>
    </row>
    <row r="60" spans="1:2" x14ac:dyDescent="0.2">
      <c r="A60" t="s">
        <v>58</v>
      </c>
      <c r="B60">
        <v>106</v>
      </c>
    </row>
    <row r="61" spans="1:2" x14ac:dyDescent="0.2">
      <c r="A61" t="s">
        <v>59</v>
      </c>
      <c r="B61">
        <v>104</v>
      </c>
    </row>
    <row r="62" spans="1:2" x14ac:dyDescent="0.2">
      <c r="A62" t="s">
        <v>60</v>
      </c>
      <c r="B62">
        <v>100.6</v>
      </c>
    </row>
    <row r="63" spans="1:2" x14ac:dyDescent="0.2">
      <c r="A63" t="s">
        <v>61</v>
      </c>
      <c r="B63">
        <v>101.5</v>
      </c>
    </row>
    <row r="64" spans="1:2" x14ac:dyDescent="0.2">
      <c r="A64" t="s">
        <v>62</v>
      </c>
      <c r="B64">
        <v>101.2</v>
      </c>
    </row>
    <row r="65" spans="1:2" x14ac:dyDescent="0.2">
      <c r="A65" t="s">
        <v>63</v>
      </c>
      <c r="B65">
        <v>99.5</v>
      </c>
    </row>
    <row r="66" spans="1:2" x14ac:dyDescent="0.2">
      <c r="A66" t="s">
        <v>64</v>
      </c>
      <c r="B66">
        <v>99.8</v>
      </c>
    </row>
    <row r="67" spans="1:2" x14ac:dyDescent="0.2">
      <c r="A67" t="s">
        <v>65</v>
      </c>
      <c r="B67">
        <v>99.7</v>
      </c>
    </row>
    <row r="68" spans="1:2" x14ac:dyDescent="0.2">
      <c r="A68" t="s">
        <v>66</v>
      </c>
      <c r="B68">
        <v>99</v>
      </c>
    </row>
    <row r="69" spans="1:2" x14ac:dyDescent="0.2">
      <c r="A69" t="s">
        <v>67</v>
      </c>
      <c r="B69">
        <v>99.5</v>
      </c>
    </row>
    <row r="70" spans="1:2" x14ac:dyDescent="0.2">
      <c r="A70" t="s">
        <v>68</v>
      </c>
      <c r="B70">
        <v>102.4</v>
      </c>
    </row>
    <row r="71" spans="1:2" x14ac:dyDescent="0.2">
      <c r="A71" t="s">
        <v>69</v>
      </c>
      <c r="B71">
        <v>104.9</v>
      </c>
    </row>
    <row r="72" spans="1:2" x14ac:dyDescent="0.2">
      <c r="A72" t="s">
        <v>70</v>
      </c>
      <c r="B72">
        <v>102.1</v>
      </c>
    </row>
    <row r="73" spans="1:2" x14ac:dyDescent="0.2">
      <c r="A73" t="s">
        <v>71</v>
      </c>
      <c r="B73">
        <v>102.2</v>
      </c>
    </row>
    <row r="74" spans="1:2" x14ac:dyDescent="0.2">
      <c r="A74" t="s">
        <v>72</v>
      </c>
      <c r="B74">
        <v>97.2</v>
      </c>
    </row>
    <row r="75" spans="1:2" x14ac:dyDescent="0.2">
      <c r="A75" t="s">
        <v>73</v>
      </c>
      <c r="B75">
        <v>95.7</v>
      </c>
    </row>
    <row r="76" spans="1:2" x14ac:dyDescent="0.2">
      <c r="A76" t="s">
        <v>74</v>
      </c>
      <c r="B76">
        <v>97.2</v>
      </c>
    </row>
    <row r="77" spans="1:2" x14ac:dyDescent="0.2">
      <c r="A77" t="s">
        <v>75</v>
      </c>
      <c r="B77">
        <v>99.6</v>
      </c>
    </row>
    <row r="78" spans="1:2" x14ac:dyDescent="0.2">
      <c r="A78" t="s">
        <v>76</v>
      </c>
      <c r="B78">
        <v>101.9</v>
      </c>
    </row>
    <row r="79" spans="1:2" x14ac:dyDescent="0.2">
      <c r="A79" t="s">
        <v>77</v>
      </c>
      <c r="B79">
        <v>102.7</v>
      </c>
    </row>
    <row r="80" spans="1:2" x14ac:dyDescent="0.2">
      <c r="A80" t="s">
        <v>78</v>
      </c>
      <c r="B80">
        <v>100.6</v>
      </c>
    </row>
    <row r="81" spans="1:2" x14ac:dyDescent="0.2">
      <c r="A81" t="s">
        <v>79</v>
      </c>
      <c r="B81">
        <v>100.8</v>
      </c>
    </row>
    <row r="82" spans="1:2" x14ac:dyDescent="0.2">
      <c r="A82" t="s">
        <v>80</v>
      </c>
      <c r="B82">
        <v>103</v>
      </c>
    </row>
    <row r="83" spans="1:2" x14ac:dyDescent="0.2">
      <c r="A83" t="s">
        <v>81</v>
      </c>
      <c r="B83">
        <v>104.6</v>
      </c>
    </row>
    <row r="84" spans="1:2" x14ac:dyDescent="0.2">
      <c r="A84" t="s">
        <v>82</v>
      </c>
      <c r="B84">
        <v>105.7</v>
      </c>
    </row>
    <row r="85" spans="1:2" x14ac:dyDescent="0.2">
      <c r="A85" t="s">
        <v>83</v>
      </c>
      <c r="B85">
        <v>106.4</v>
      </c>
    </row>
    <row r="86" spans="1:2" x14ac:dyDescent="0.2">
      <c r="A86" t="s">
        <v>84</v>
      </c>
      <c r="B86">
        <v>103.3</v>
      </c>
    </row>
    <row r="87" spans="1:2" x14ac:dyDescent="0.2">
      <c r="A87" t="s">
        <v>85</v>
      </c>
      <c r="B87">
        <v>104.2</v>
      </c>
    </row>
    <row r="88" spans="1:2" x14ac:dyDescent="0.2">
      <c r="A88" t="s">
        <v>86</v>
      </c>
      <c r="B88">
        <v>106.8</v>
      </c>
    </row>
    <row r="89" spans="1:2" x14ac:dyDescent="0.2">
      <c r="A89" t="s">
        <v>87</v>
      </c>
      <c r="B89">
        <v>107.9</v>
      </c>
    </row>
    <row r="90" spans="1:2" x14ac:dyDescent="0.2">
      <c r="A90" t="s">
        <v>88</v>
      </c>
      <c r="B90">
        <v>109</v>
      </c>
    </row>
    <row r="91" spans="1:2" x14ac:dyDescent="0.2">
      <c r="A91" t="s">
        <v>89</v>
      </c>
      <c r="B91">
        <v>109.1</v>
      </c>
    </row>
    <row r="92" spans="1:2" x14ac:dyDescent="0.2">
      <c r="A92" t="s">
        <v>90</v>
      </c>
      <c r="B92">
        <v>107.3</v>
      </c>
    </row>
    <row r="93" spans="1:2" x14ac:dyDescent="0.2">
      <c r="A93" t="s">
        <v>91</v>
      </c>
      <c r="B93">
        <v>108.5</v>
      </c>
    </row>
    <row r="94" spans="1:2" x14ac:dyDescent="0.2">
      <c r="A94" t="s">
        <v>92</v>
      </c>
      <c r="B94">
        <v>111.7</v>
      </c>
    </row>
    <row r="95" spans="1:2" x14ac:dyDescent="0.2">
      <c r="A95" t="s">
        <v>93</v>
      </c>
      <c r="B95">
        <v>113.5</v>
      </c>
    </row>
    <row r="96" spans="1:2" x14ac:dyDescent="0.2">
      <c r="A96" t="s">
        <v>94</v>
      </c>
      <c r="B96">
        <v>113.6</v>
      </c>
    </row>
    <row r="97" spans="1:2" x14ac:dyDescent="0.2">
      <c r="A97" t="s">
        <v>95</v>
      </c>
      <c r="B97">
        <v>113.3</v>
      </c>
    </row>
    <row r="98" spans="1:2" x14ac:dyDescent="0.2">
      <c r="A98" t="s">
        <v>96</v>
      </c>
      <c r="B98">
        <v>109.8</v>
      </c>
    </row>
    <row r="99" spans="1:2" x14ac:dyDescent="0.2">
      <c r="A99" t="s">
        <v>97</v>
      </c>
      <c r="B99">
        <v>112.6</v>
      </c>
    </row>
    <row r="100" spans="1:2" x14ac:dyDescent="0.2">
      <c r="A100" t="s">
        <v>98</v>
      </c>
      <c r="B100">
        <v>114.4</v>
      </c>
    </row>
    <row r="101" spans="1:2" x14ac:dyDescent="0.2">
      <c r="A101" t="s">
        <v>99</v>
      </c>
      <c r="B101">
        <v>115.2</v>
      </c>
    </row>
    <row r="102" spans="1:2" x14ac:dyDescent="0.2">
      <c r="A102" t="s">
        <v>100</v>
      </c>
      <c r="B102">
        <v>116.7</v>
      </c>
    </row>
    <row r="103" spans="1:2" x14ac:dyDescent="0.2">
      <c r="A103" t="s">
        <v>101</v>
      </c>
      <c r="B103">
        <v>116.9</v>
      </c>
    </row>
    <row r="104" spans="1:2" x14ac:dyDescent="0.2">
      <c r="A104" t="s">
        <v>102</v>
      </c>
      <c r="B104">
        <v>114.4</v>
      </c>
    </row>
    <row r="105" spans="1:2" x14ac:dyDescent="0.2">
      <c r="A105" t="s">
        <v>103</v>
      </c>
      <c r="B105">
        <v>116.1</v>
      </c>
    </row>
    <row r="106" spans="1:2" x14ac:dyDescent="0.2">
      <c r="A106" t="s">
        <v>104</v>
      </c>
      <c r="B106">
        <v>119.5</v>
      </c>
    </row>
    <row r="107" spans="1:2" x14ac:dyDescent="0.2">
      <c r="A107" t="s">
        <v>105</v>
      </c>
      <c r="B107">
        <v>120.5</v>
      </c>
    </row>
    <row r="108" spans="1:2" x14ac:dyDescent="0.2">
      <c r="A108" t="s">
        <v>106</v>
      </c>
      <c r="B108">
        <v>120.1</v>
      </c>
    </row>
    <row r="109" spans="1:2" x14ac:dyDescent="0.2">
      <c r="A109" t="s">
        <v>107</v>
      </c>
      <c r="B109">
        <v>120.6</v>
      </c>
    </row>
    <row r="110" spans="1:2" x14ac:dyDescent="0.2">
      <c r="A110" t="s">
        <v>108</v>
      </c>
      <c r="B110">
        <v>115.9</v>
      </c>
    </row>
    <row r="111" spans="1:2" x14ac:dyDescent="0.2">
      <c r="A111" t="s">
        <v>109</v>
      </c>
      <c r="B111">
        <v>118.3</v>
      </c>
    </row>
    <row r="112" spans="1:2" x14ac:dyDescent="0.2">
      <c r="A112" t="s">
        <v>110</v>
      </c>
      <c r="B112">
        <v>119</v>
      </c>
    </row>
    <row r="113" spans="1:2" x14ac:dyDescent="0.2">
      <c r="A113" t="s">
        <v>111</v>
      </c>
      <c r="B113">
        <v>119.5</v>
      </c>
    </row>
    <row r="114" spans="1:2" x14ac:dyDescent="0.2">
      <c r="A114" t="s">
        <v>112</v>
      </c>
      <c r="B114">
        <v>120.2</v>
      </c>
    </row>
    <row r="115" spans="1:2" x14ac:dyDescent="0.2">
      <c r="A115" t="s">
        <v>113</v>
      </c>
      <c r="B115">
        <v>118.8</v>
      </c>
    </row>
    <row r="116" spans="1:2" x14ac:dyDescent="0.2">
      <c r="A116" t="s">
        <v>114</v>
      </c>
      <c r="B116">
        <v>116.8</v>
      </c>
    </row>
    <row r="117" spans="1:2" x14ac:dyDescent="0.2">
      <c r="A117" t="s">
        <v>115</v>
      </c>
      <c r="B117">
        <v>118</v>
      </c>
    </row>
    <row r="118" spans="1:2" x14ac:dyDescent="0.2">
      <c r="A118" t="s">
        <v>116</v>
      </c>
      <c r="B118">
        <v>120.5</v>
      </c>
    </row>
    <row r="119" spans="1:2" x14ac:dyDescent="0.2">
      <c r="A119" t="s">
        <v>117</v>
      </c>
      <c r="B119">
        <v>121.8</v>
      </c>
    </row>
    <row r="120" spans="1:2" x14ac:dyDescent="0.2">
      <c r="A120" t="s">
        <v>118</v>
      </c>
      <c r="B120">
        <v>122.6</v>
      </c>
    </row>
    <row r="121" spans="1:2" x14ac:dyDescent="0.2">
      <c r="A121" t="s">
        <v>119</v>
      </c>
      <c r="B121">
        <v>121.9</v>
      </c>
    </row>
    <row r="122" spans="1:2" x14ac:dyDescent="0.2">
      <c r="A122" t="s">
        <v>120</v>
      </c>
      <c r="B122">
        <v>117.9</v>
      </c>
    </row>
    <row r="123" spans="1:2" x14ac:dyDescent="0.2">
      <c r="A123" t="s">
        <v>121</v>
      </c>
      <c r="B123">
        <v>117.6</v>
      </c>
    </row>
    <row r="124" spans="1:2" x14ac:dyDescent="0.2">
      <c r="A124" t="s">
        <v>122</v>
      </c>
      <c r="B124">
        <v>120.3</v>
      </c>
    </row>
    <row r="125" spans="1:2" x14ac:dyDescent="0.2">
      <c r="A125" t="s">
        <v>123</v>
      </c>
      <c r="B125">
        <v>118.9</v>
      </c>
    </row>
    <row r="126" spans="1:2" x14ac:dyDescent="0.2">
      <c r="A126" t="s">
        <v>124</v>
      </c>
      <c r="B126">
        <v>119.8</v>
      </c>
    </row>
    <row r="127" spans="1:2" x14ac:dyDescent="0.2">
      <c r="A127" t="s">
        <v>125</v>
      </c>
      <c r="B127">
        <v>119.4</v>
      </c>
    </row>
    <row r="128" spans="1:2" x14ac:dyDescent="0.2">
      <c r="A128" t="s">
        <v>126</v>
      </c>
      <c r="B128">
        <v>117.1</v>
      </c>
    </row>
    <row r="129" spans="1:2" x14ac:dyDescent="0.2">
      <c r="A129" t="s">
        <v>127</v>
      </c>
      <c r="B129">
        <v>118.2</v>
      </c>
    </row>
    <row r="130" spans="1:2" x14ac:dyDescent="0.2">
      <c r="A130" t="s">
        <v>128</v>
      </c>
      <c r="B130">
        <v>121</v>
      </c>
    </row>
    <row r="131" spans="1:2" x14ac:dyDescent="0.2">
      <c r="A131" t="s">
        <v>129</v>
      </c>
      <c r="B131">
        <v>122.2</v>
      </c>
    </row>
    <row r="132" spans="1:2" x14ac:dyDescent="0.2">
      <c r="A132" t="s">
        <v>130</v>
      </c>
      <c r="B132">
        <v>121.8</v>
      </c>
    </row>
    <row r="133" spans="1:2" x14ac:dyDescent="0.2">
      <c r="A133" t="s">
        <v>131</v>
      </c>
      <c r="B133">
        <v>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1CC6-7C6B-E744-B439-17B419B1459E}">
  <dimension ref="A1:D133"/>
  <sheetViews>
    <sheetView workbookViewId="0">
      <selection activeCell="P20" sqref="P20"/>
    </sheetView>
  </sheetViews>
  <sheetFormatPr baseColWidth="10" defaultRowHeight="16" x14ac:dyDescent="0.2"/>
  <sheetData>
    <row r="1" spans="1:4" x14ac:dyDescent="0.2">
      <c r="A1" s="1" t="s">
        <v>133</v>
      </c>
      <c r="B1" s="2" t="s">
        <v>135</v>
      </c>
      <c r="C1" s="2" t="s">
        <v>136</v>
      </c>
      <c r="D1" s="2" t="s">
        <v>138</v>
      </c>
    </row>
    <row r="2" spans="1:4" x14ac:dyDescent="0.2">
      <c r="A2" t="s">
        <v>0</v>
      </c>
      <c r="B2">
        <v>7</v>
      </c>
      <c r="C2">
        <v>7</v>
      </c>
      <c r="D2">
        <v>16</v>
      </c>
    </row>
    <row r="3" spans="1:4" x14ac:dyDescent="0.2">
      <c r="A3" t="s">
        <v>1</v>
      </c>
      <c r="B3">
        <v>4</v>
      </c>
      <c r="C3">
        <v>9</v>
      </c>
      <c r="D3">
        <v>14</v>
      </c>
    </row>
    <row r="4" spans="1:4" x14ac:dyDescent="0.2">
      <c r="A4" t="s">
        <v>2</v>
      </c>
      <c r="B4">
        <v>2</v>
      </c>
      <c r="C4">
        <v>11</v>
      </c>
      <c r="D4">
        <v>19</v>
      </c>
    </row>
    <row r="5" spans="1:4" x14ac:dyDescent="0.2">
      <c r="A5" t="s">
        <v>3</v>
      </c>
      <c r="B5">
        <v>1</v>
      </c>
      <c r="C5">
        <v>15</v>
      </c>
      <c r="D5">
        <v>22</v>
      </c>
    </row>
    <row r="6" spans="1:4" x14ac:dyDescent="0.2">
      <c r="A6" t="s">
        <v>4</v>
      </c>
      <c r="B6">
        <v>1</v>
      </c>
      <c r="C6">
        <v>13</v>
      </c>
      <c r="D6">
        <v>18</v>
      </c>
    </row>
    <row r="7" spans="1:4" x14ac:dyDescent="0.2">
      <c r="A7" t="s">
        <v>5</v>
      </c>
      <c r="B7">
        <v>1</v>
      </c>
      <c r="C7">
        <v>16</v>
      </c>
      <c r="D7">
        <v>28</v>
      </c>
    </row>
    <row r="8" spans="1:4" x14ac:dyDescent="0.2">
      <c r="A8" t="s">
        <v>6</v>
      </c>
      <c r="B8">
        <v>3</v>
      </c>
      <c r="C8">
        <v>13</v>
      </c>
      <c r="D8">
        <v>39</v>
      </c>
    </row>
    <row r="9" spans="1:4" x14ac:dyDescent="0.2">
      <c r="A9" t="s">
        <v>7</v>
      </c>
      <c r="B9">
        <v>7</v>
      </c>
      <c r="C9">
        <v>7</v>
      </c>
      <c r="D9">
        <v>67</v>
      </c>
    </row>
    <row r="10" spans="1:4" x14ac:dyDescent="0.2">
      <c r="A10" t="s">
        <v>8</v>
      </c>
      <c r="B10">
        <v>17</v>
      </c>
      <c r="C10">
        <v>3</v>
      </c>
      <c r="D10">
        <v>41</v>
      </c>
    </row>
    <row r="11" spans="1:4" x14ac:dyDescent="0.2">
      <c r="A11" t="s">
        <v>9</v>
      </c>
      <c r="B11">
        <v>23</v>
      </c>
      <c r="C11">
        <v>2</v>
      </c>
      <c r="D11">
        <v>16</v>
      </c>
    </row>
    <row r="12" spans="1:4" x14ac:dyDescent="0.2">
      <c r="A12" t="s">
        <v>10</v>
      </c>
      <c r="B12">
        <v>20</v>
      </c>
      <c r="C12">
        <v>2</v>
      </c>
      <c r="D12">
        <v>15</v>
      </c>
    </row>
    <row r="13" spans="1:4" x14ac:dyDescent="0.2">
      <c r="A13" t="s">
        <v>11</v>
      </c>
      <c r="B13">
        <v>9</v>
      </c>
      <c r="C13">
        <v>2</v>
      </c>
      <c r="D13">
        <v>12</v>
      </c>
    </row>
    <row r="14" spans="1:4" x14ac:dyDescent="0.2">
      <c r="A14" t="s">
        <v>12</v>
      </c>
      <c r="B14">
        <v>9</v>
      </c>
      <c r="C14">
        <v>7</v>
      </c>
      <c r="D14">
        <v>18</v>
      </c>
    </row>
    <row r="15" spans="1:4" x14ac:dyDescent="0.2">
      <c r="A15" t="s">
        <v>13</v>
      </c>
      <c r="B15">
        <v>5</v>
      </c>
      <c r="C15">
        <v>10</v>
      </c>
      <c r="D15">
        <v>14</v>
      </c>
    </row>
    <row r="16" spans="1:4" x14ac:dyDescent="0.2">
      <c r="A16" t="s">
        <v>14</v>
      </c>
      <c r="B16">
        <v>3</v>
      </c>
      <c r="C16">
        <v>11</v>
      </c>
      <c r="D16">
        <v>17</v>
      </c>
    </row>
    <row r="17" spans="1:4" x14ac:dyDescent="0.2">
      <c r="A17" t="s">
        <v>15</v>
      </c>
      <c r="B17">
        <v>2</v>
      </c>
      <c r="C17">
        <v>15</v>
      </c>
      <c r="D17">
        <v>23</v>
      </c>
    </row>
    <row r="18" spans="1:4" x14ac:dyDescent="0.2">
      <c r="A18" t="s">
        <v>16</v>
      </c>
      <c r="B18">
        <v>1</v>
      </c>
      <c r="C18">
        <v>21</v>
      </c>
      <c r="D18">
        <v>21</v>
      </c>
    </row>
    <row r="19" spans="1:4" x14ac:dyDescent="0.2">
      <c r="A19" t="s">
        <v>17</v>
      </c>
      <c r="B19">
        <v>1</v>
      </c>
      <c r="C19">
        <v>15</v>
      </c>
      <c r="D19">
        <v>28</v>
      </c>
    </row>
    <row r="20" spans="1:4" x14ac:dyDescent="0.2">
      <c r="A20" t="s">
        <v>18</v>
      </c>
      <c r="B20">
        <v>3</v>
      </c>
      <c r="C20">
        <v>16</v>
      </c>
      <c r="D20">
        <v>42</v>
      </c>
    </row>
    <row r="21" spans="1:4" x14ac:dyDescent="0.2">
      <c r="A21" t="s">
        <v>19</v>
      </c>
      <c r="B21">
        <v>7</v>
      </c>
      <c r="C21">
        <v>11</v>
      </c>
      <c r="D21">
        <v>66</v>
      </c>
    </row>
    <row r="22" spans="1:4" x14ac:dyDescent="0.2">
      <c r="A22" t="s">
        <v>20</v>
      </c>
      <c r="B22">
        <v>16</v>
      </c>
      <c r="C22">
        <v>6</v>
      </c>
      <c r="D22">
        <v>50</v>
      </c>
    </row>
    <row r="23" spans="1:4" x14ac:dyDescent="0.2">
      <c r="A23" t="s">
        <v>21</v>
      </c>
      <c r="B23">
        <v>29</v>
      </c>
      <c r="C23">
        <v>3</v>
      </c>
      <c r="D23">
        <v>19</v>
      </c>
    </row>
    <row r="24" spans="1:4" x14ac:dyDescent="0.2">
      <c r="A24" t="s">
        <v>22</v>
      </c>
      <c r="B24">
        <v>33</v>
      </c>
      <c r="C24">
        <v>3</v>
      </c>
      <c r="D24">
        <v>16</v>
      </c>
    </row>
    <row r="25" spans="1:4" x14ac:dyDescent="0.2">
      <c r="A25" t="s">
        <v>23</v>
      </c>
      <c r="B25">
        <v>13</v>
      </c>
      <c r="C25">
        <v>3</v>
      </c>
      <c r="D25">
        <v>11</v>
      </c>
    </row>
    <row r="26" spans="1:4" x14ac:dyDescent="0.2">
      <c r="A26" t="s">
        <v>24</v>
      </c>
      <c r="B26">
        <v>10</v>
      </c>
      <c r="C26">
        <v>9</v>
      </c>
      <c r="D26">
        <v>17</v>
      </c>
    </row>
    <row r="27" spans="1:4" x14ac:dyDescent="0.2">
      <c r="A27" t="s">
        <v>25</v>
      </c>
      <c r="B27">
        <v>5</v>
      </c>
      <c r="C27">
        <v>11</v>
      </c>
      <c r="D27">
        <v>14</v>
      </c>
    </row>
    <row r="28" spans="1:4" x14ac:dyDescent="0.2">
      <c r="A28" t="s">
        <v>26</v>
      </c>
      <c r="B28">
        <v>2</v>
      </c>
      <c r="C28">
        <v>15</v>
      </c>
      <c r="D28">
        <v>20</v>
      </c>
    </row>
    <row r="29" spans="1:4" x14ac:dyDescent="0.2">
      <c r="A29" t="s">
        <v>27</v>
      </c>
      <c r="B29">
        <v>1</v>
      </c>
      <c r="C29">
        <v>20</v>
      </c>
      <c r="D29">
        <v>21</v>
      </c>
    </row>
    <row r="30" spans="1:4" x14ac:dyDescent="0.2">
      <c r="A30" t="s">
        <v>28</v>
      </c>
      <c r="B30">
        <v>1</v>
      </c>
      <c r="C30">
        <v>26</v>
      </c>
      <c r="D30">
        <v>21</v>
      </c>
    </row>
    <row r="31" spans="1:4" x14ac:dyDescent="0.2">
      <c r="A31" t="s">
        <v>29</v>
      </c>
      <c r="B31">
        <v>1</v>
      </c>
      <c r="C31">
        <v>31</v>
      </c>
      <c r="D31">
        <v>31</v>
      </c>
    </row>
    <row r="32" spans="1:4" x14ac:dyDescent="0.2">
      <c r="A32" t="s">
        <v>30</v>
      </c>
      <c r="B32">
        <v>3</v>
      </c>
      <c r="C32">
        <v>19</v>
      </c>
      <c r="D32">
        <v>50</v>
      </c>
    </row>
    <row r="33" spans="1:4" x14ac:dyDescent="0.2">
      <c r="A33" t="s">
        <v>31</v>
      </c>
      <c r="B33">
        <v>9</v>
      </c>
      <c r="C33">
        <v>9</v>
      </c>
      <c r="D33">
        <v>74</v>
      </c>
    </row>
    <row r="34" spans="1:4" x14ac:dyDescent="0.2">
      <c r="A34" t="s">
        <v>32</v>
      </c>
      <c r="B34">
        <v>27</v>
      </c>
      <c r="C34">
        <v>5</v>
      </c>
      <c r="D34">
        <v>48</v>
      </c>
    </row>
    <row r="35" spans="1:4" x14ac:dyDescent="0.2">
      <c r="A35" t="s">
        <v>33</v>
      </c>
      <c r="B35">
        <v>24</v>
      </c>
      <c r="C35">
        <v>3</v>
      </c>
      <c r="D35">
        <v>18</v>
      </c>
    </row>
    <row r="36" spans="1:4" x14ac:dyDescent="0.2">
      <c r="A36" t="s">
        <v>34</v>
      </c>
      <c r="B36">
        <v>29</v>
      </c>
      <c r="C36">
        <v>3</v>
      </c>
      <c r="D36">
        <v>16</v>
      </c>
    </row>
    <row r="37" spans="1:4" x14ac:dyDescent="0.2">
      <c r="A37" t="s">
        <v>35</v>
      </c>
      <c r="B37">
        <v>19</v>
      </c>
      <c r="C37">
        <v>3</v>
      </c>
      <c r="D37">
        <v>12</v>
      </c>
    </row>
    <row r="38" spans="1:4" x14ac:dyDescent="0.2">
      <c r="A38" t="s">
        <v>36</v>
      </c>
      <c r="B38">
        <v>9</v>
      </c>
      <c r="C38">
        <v>10</v>
      </c>
      <c r="D38">
        <v>19</v>
      </c>
    </row>
    <row r="39" spans="1:4" x14ac:dyDescent="0.2">
      <c r="A39" t="s">
        <v>37</v>
      </c>
      <c r="B39">
        <v>8</v>
      </c>
      <c r="C39">
        <v>11</v>
      </c>
      <c r="D39">
        <v>15</v>
      </c>
    </row>
    <row r="40" spans="1:4" x14ac:dyDescent="0.2">
      <c r="A40" t="s">
        <v>38</v>
      </c>
      <c r="B40">
        <v>6</v>
      </c>
      <c r="C40">
        <v>14</v>
      </c>
      <c r="D40">
        <v>19</v>
      </c>
    </row>
    <row r="41" spans="1:4" x14ac:dyDescent="0.2">
      <c r="A41" t="s">
        <v>39</v>
      </c>
      <c r="B41">
        <v>2</v>
      </c>
      <c r="C41">
        <v>27</v>
      </c>
      <c r="D41">
        <v>24</v>
      </c>
    </row>
    <row r="42" spans="1:4" x14ac:dyDescent="0.2">
      <c r="A42" t="s">
        <v>40</v>
      </c>
      <c r="B42">
        <v>1</v>
      </c>
      <c r="C42">
        <v>34</v>
      </c>
      <c r="D42">
        <v>21</v>
      </c>
    </row>
    <row r="43" spans="1:4" x14ac:dyDescent="0.2">
      <c r="A43" t="s">
        <v>41</v>
      </c>
      <c r="B43">
        <v>1</v>
      </c>
      <c r="C43">
        <v>33</v>
      </c>
      <c r="D43">
        <v>32</v>
      </c>
    </row>
    <row r="44" spans="1:4" x14ac:dyDescent="0.2">
      <c r="A44" t="s">
        <v>42</v>
      </c>
      <c r="B44">
        <v>3</v>
      </c>
      <c r="C44">
        <v>39</v>
      </c>
      <c r="D44">
        <v>48</v>
      </c>
    </row>
    <row r="45" spans="1:4" x14ac:dyDescent="0.2">
      <c r="A45" t="s">
        <v>43</v>
      </c>
      <c r="B45">
        <v>12</v>
      </c>
      <c r="C45">
        <v>13</v>
      </c>
      <c r="D45">
        <v>83</v>
      </c>
    </row>
    <row r="46" spans="1:4" x14ac:dyDescent="0.2">
      <c r="A46" t="s">
        <v>44</v>
      </c>
      <c r="B46">
        <v>25</v>
      </c>
      <c r="C46">
        <v>5</v>
      </c>
      <c r="D46">
        <v>49</v>
      </c>
    </row>
    <row r="47" spans="1:4" x14ac:dyDescent="0.2">
      <c r="A47" t="s">
        <v>45</v>
      </c>
      <c r="B47">
        <v>27</v>
      </c>
      <c r="C47">
        <v>3</v>
      </c>
      <c r="D47">
        <v>21</v>
      </c>
    </row>
    <row r="48" spans="1:4" x14ac:dyDescent="0.2">
      <c r="A48" t="s">
        <v>46</v>
      </c>
      <c r="B48">
        <v>25</v>
      </c>
      <c r="C48">
        <v>3</v>
      </c>
      <c r="D48">
        <v>18</v>
      </c>
    </row>
    <row r="49" spans="1:4" x14ac:dyDescent="0.2">
      <c r="A49" t="s">
        <v>47</v>
      </c>
      <c r="B49">
        <v>14</v>
      </c>
      <c r="C49">
        <v>3</v>
      </c>
      <c r="D49">
        <v>12</v>
      </c>
    </row>
    <row r="50" spans="1:4" x14ac:dyDescent="0.2">
      <c r="A50" t="s">
        <v>48</v>
      </c>
      <c r="B50">
        <v>12</v>
      </c>
      <c r="C50">
        <v>10</v>
      </c>
      <c r="D50">
        <v>20</v>
      </c>
    </row>
    <row r="51" spans="1:4" x14ac:dyDescent="0.2">
      <c r="A51" t="s">
        <v>49</v>
      </c>
      <c r="B51">
        <v>5</v>
      </c>
      <c r="C51">
        <v>15</v>
      </c>
      <c r="D51">
        <v>15</v>
      </c>
    </row>
    <row r="52" spans="1:4" x14ac:dyDescent="0.2">
      <c r="A52" t="s">
        <v>50</v>
      </c>
      <c r="B52">
        <v>2</v>
      </c>
      <c r="C52">
        <v>16</v>
      </c>
      <c r="D52">
        <v>22</v>
      </c>
    </row>
    <row r="53" spans="1:4" x14ac:dyDescent="0.2">
      <c r="A53" t="s">
        <v>51</v>
      </c>
      <c r="B53">
        <v>2</v>
      </c>
      <c r="C53">
        <v>27</v>
      </c>
      <c r="D53">
        <v>23</v>
      </c>
    </row>
    <row r="54" spans="1:4" x14ac:dyDescent="0.2">
      <c r="A54" t="s">
        <v>52</v>
      </c>
      <c r="B54">
        <v>1</v>
      </c>
      <c r="C54">
        <v>25</v>
      </c>
      <c r="D54">
        <v>23</v>
      </c>
    </row>
    <row r="55" spans="1:4" x14ac:dyDescent="0.2">
      <c r="A55" t="s">
        <v>53</v>
      </c>
      <c r="B55">
        <v>2</v>
      </c>
      <c r="C55">
        <v>24</v>
      </c>
      <c r="D55">
        <v>36</v>
      </c>
    </row>
    <row r="56" spans="1:4" x14ac:dyDescent="0.2">
      <c r="A56" t="s">
        <v>54</v>
      </c>
      <c r="B56">
        <v>2</v>
      </c>
      <c r="C56">
        <v>28</v>
      </c>
      <c r="D56">
        <v>50</v>
      </c>
    </row>
    <row r="57" spans="1:4" x14ac:dyDescent="0.2">
      <c r="A57" t="s">
        <v>55</v>
      </c>
      <c r="B57">
        <v>7</v>
      </c>
      <c r="C57">
        <v>11</v>
      </c>
      <c r="D57">
        <v>82</v>
      </c>
    </row>
    <row r="58" spans="1:4" x14ac:dyDescent="0.2">
      <c r="A58" t="s">
        <v>56</v>
      </c>
      <c r="B58">
        <v>19</v>
      </c>
      <c r="C58">
        <v>5</v>
      </c>
      <c r="D58">
        <v>47</v>
      </c>
    </row>
    <row r="59" spans="1:4" x14ac:dyDescent="0.2">
      <c r="A59" t="s">
        <v>57</v>
      </c>
      <c r="B59">
        <v>26</v>
      </c>
      <c r="C59">
        <v>4</v>
      </c>
      <c r="D59">
        <v>19</v>
      </c>
    </row>
    <row r="60" spans="1:4" x14ac:dyDescent="0.2">
      <c r="A60" t="s">
        <v>58</v>
      </c>
      <c r="B60">
        <v>24</v>
      </c>
      <c r="C60">
        <v>3</v>
      </c>
      <c r="D60">
        <v>17</v>
      </c>
    </row>
    <row r="61" spans="1:4" x14ac:dyDescent="0.2">
      <c r="A61" t="s">
        <v>59</v>
      </c>
      <c r="B61">
        <v>12</v>
      </c>
      <c r="C61">
        <v>4</v>
      </c>
      <c r="D61">
        <v>11</v>
      </c>
    </row>
    <row r="62" spans="1:4" x14ac:dyDescent="0.2">
      <c r="A62" t="s">
        <v>60</v>
      </c>
      <c r="B62">
        <v>7</v>
      </c>
      <c r="C62">
        <v>10</v>
      </c>
      <c r="D62">
        <v>20</v>
      </c>
    </row>
    <row r="63" spans="1:4" x14ac:dyDescent="0.2">
      <c r="A63" t="s">
        <v>61</v>
      </c>
      <c r="B63">
        <v>6</v>
      </c>
      <c r="C63">
        <v>11</v>
      </c>
      <c r="D63">
        <v>18</v>
      </c>
    </row>
    <row r="64" spans="1:4" x14ac:dyDescent="0.2">
      <c r="A64" t="s">
        <v>62</v>
      </c>
      <c r="B64">
        <v>2</v>
      </c>
      <c r="C64">
        <v>8</v>
      </c>
      <c r="D64">
        <v>14</v>
      </c>
    </row>
    <row r="65" spans="1:4" x14ac:dyDescent="0.2">
      <c r="A65" t="s">
        <v>63</v>
      </c>
      <c r="B65">
        <v>1</v>
      </c>
      <c r="C65">
        <v>16</v>
      </c>
      <c r="D65">
        <v>11</v>
      </c>
    </row>
    <row r="66" spans="1:4" x14ac:dyDescent="0.2">
      <c r="A66" t="s">
        <v>64</v>
      </c>
      <c r="B66">
        <v>2</v>
      </c>
      <c r="C66">
        <v>32</v>
      </c>
      <c r="D66">
        <v>16</v>
      </c>
    </row>
    <row r="67" spans="1:4" x14ac:dyDescent="0.2">
      <c r="A67" t="s">
        <v>65</v>
      </c>
      <c r="B67">
        <v>2</v>
      </c>
      <c r="C67">
        <v>27</v>
      </c>
      <c r="D67">
        <v>29</v>
      </c>
    </row>
    <row r="68" spans="1:4" x14ac:dyDescent="0.2">
      <c r="A68" t="s">
        <v>66</v>
      </c>
      <c r="B68">
        <v>4</v>
      </c>
      <c r="C68">
        <v>17</v>
      </c>
      <c r="D68">
        <v>62</v>
      </c>
    </row>
    <row r="69" spans="1:4" x14ac:dyDescent="0.2">
      <c r="A69" t="s">
        <v>67</v>
      </c>
      <c r="B69">
        <v>9</v>
      </c>
      <c r="C69">
        <v>17</v>
      </c>
      <c r="D69">
        <v>100</v>
      </c>
    </row>
    <row r="70" spans="1:4" x14ac:dyDescent="0.2">
      <c r="A70" t="s">
        <v>68</v>
      </c>
      <c r="B70">
        <v>20</v>
      </c>
      <c r="C70">
        <v>4</v>
      </c>
      <c r="D70">
        <v>60</v>
      </c>
    </row>
    <row r="71" spans="1:4" x14ac:dyDescent="0.2">
      <c r="A71" t="s">
        <v>69</v>
      </c>
      <c r="B71">
        <v>25</v>
      </c>
      <c r="C71">
        <v>2</v>
      </c>
      <c r="D71">
        <v>21</v>
      </c>
    </row>
    <row r="72" spans="1:4" x14ac:dyDescent="0.2">
      <c r="A72" t="s">
        <v>70</v>
      </c>
      <c r="B72">
        <v>19</v>
      </c>
      <c r="C72">
        <v>2</v>
      </c>
      <c r="D72">
        <v>20</v>
      </c>
    </row>
    <row r="73" spans="1:4" x14ac:dyDescent="0.2">
      <c r="A73" t="s">
        <v>71</v>
      </c>
      <c r="B73">
        <v>15</v>
      </c>
      <c r="C73">
        <v>2</v>
      </c>
      <c r="D73">
        <v>12</v>
      </c>
    </row>
    <row r="74" spans="1:4" x14ac:dyDescent="0.2">
      <c r="A74" t="s">
        <v>72</v>
      </c>
      <c r="B74">
        <v>11</v>
      </c>
      <c r="C74">
        <v>6</v>
      </c>
      <c r="D74">
        <v>9</v>
      </c>
    </row>
    <row r="75" spans="1:4" x14ac:dyDescent="0.2">
      <c r="A75" t="s">
        <v>73</v>
      </c>
      <c r="B75">
        <v>7</v>
      </c>
      <c r="C75">
        <v>9</v>
      </c>
      <c r="D75">
        <v>18</v>
      </c>
    </row>
    <row r="76" spans="1:4" x14ac:dyDescent="0.2">
      <c r="A76" t="s">
        <v>74</v>
      </c>
      <c r="B76">
        <v>3</v>
      </c>
      <c r="C76">
        <v>18</v>
      </c>
      <c r="D76">
        <v>40</v>
      </c>
    </row>
    <row r="77" spans="1:4" x14ac:dyDescent="0.2">
      <c r="A77" t="s">
        <v>75</v>
      </c>
      <c r="B77">
        <v>2</v>
      </c>
      <c r="C77">
        <v>23</v>
      </c>
      <c r="D77">
        <v>27</v>
      </c>
    </row>
    <row r="78" spans="1:4" x14ac:dyDescent="0.2">
      <c r="A78" t="s">
        <v>76</v>
      </c>
      <c r="B78">
        <v>2</v>
      </c>
      <c r="C78">
        <v>20</v>
      </c>
      <c r="D78">
        <v>24</v>
      </c>
    </row>
    <row r="79" spans="1:4" x14ac:dyDescent="0.2">
      <c r="A79" t="s">
        <v>77</v>
      </c>
      <c r="B79">
        <v>2</v>
      </c>
      <c r="C79">
        <v>51</v>
      </c>
      <c r="D79">
        <v>35</v>
      </c>
    </row>
    <row r="80" spans="1:4" x14ac:dyDescent="0.2">
      <c r="A80" t="s">
        <v>78</v>
      </c>
      <c r="B80">
        <v>3</v>
      </c>
      <c r="C80">
        <v>36</v>
      </c>
      <c r="D80">
        <v>58</v>
      </c>
    </row>
    <row r="81" spans="1:4" x14ac:dyDescent="0.2">
      <c r="A81" t="s">
        <v>79</v>
      </c>
      <c r="B81">
        <v>9</v>
      </c>
      <c r="C81">
        <v>11</v>
      </c>
      <c r="D81">
        <v>89</v>
      </c>
    </row>
    <row r="82" spans="1:4" x14ac:dyDescent="0.2">
      <c r="A82" t="s">
        <v>80</v>
      </c>
      <c r="B82">
        <v>17</v>
      </c>
      <c r="C82">
        <v>7</v>
      </c>
      <c r="D82">
        <v>55</v>
      </c>
    </row>
    <row r="83" spans="1:4" x14ac:dyDescent="0.2">
      <c r="A83" t="s">
        <v>81</v>
      </c>
      <c r="B83">
        <v>26</v>
      </c>
      <c r="C83">
        <v>4</v>
      </c>
      <c r="D83">
        <v>21</v>
      </c>
    </row>
    <row r="84" spans="1:4" x14ac:dyDescent="0.2">
      <c r="A84" t="s">
        <v>82</v>
      </c>
      <c r="B84">
        <v>27</v>
      </c>
      <c r="C84">
        <v>4</v>
      </c>
      <c r="D84">
        <v>19</v>
      </c>
    </row>
    <row r="85" spans="1:4" x14ac:dyDescent="0.2">
      <c r="A85" t="s">
        <v>83</v>
      </c>
      <c r="B85">
        <v>16</v>
      </c>
      <c r="C85">
        <v>3</v>
      </c>
      <c r="D85">
        <v>12</v>
      </c>
    </row>
    <row r="86" spans="1:4" x14ac:dyDescent="0.2">
      <c r="A86" t="s">
        <v>84</v>
      </c>
      <c r="B86">
        <v>9</v>
      </c>
      <c r="C86">
        <v>11</v>
      </c>
      <c r="D86">
        <v>21</v>
      </c>
    </row>
    <row r="87" spans="1:4" x14ac:dyDescent="0.2">
      <c r="A87" t="s">
        <v>85</v>
      </c>
      <c r="B87">
        <v>5</v>
      </c>
      <c r="C87">
        <v>17</v>
      </c>
      <c r="D87">
        <v>18</v>
      </c>
    </row>
    <row r="88" spans="1:4" x14ac:dyDescent="0.2">
      <c r="A88" t="s">
        <v>86</v>
      </c>
      <c r="B88">
        <v>3</v>
      </c>
      <c r="C88">
        <v>28</v>
      </c>
      <c r="D88">
        <v>24</v>
      </c>
    </row>
    <row r="89" spans="1:4" x14ac:dyDescent="0.2">
      <c r="A89" t="s">
        <v>87</v>
      </c>
      <c r="B89">
        <v>2</v>
      </c>
      <c r="C89">
        <v>32</v>
      </c>
      <c r="D89">
        <v>23</v>
      </c>
    </row>
    <row r="90" spans="1:4" x14ac:dyDescent="0.2">
      <c r="A90" t="s">
        <v>88</v>
      </c>
      <c r="B90">
        <v>1</v>
      </c>
      <c r="C90">
        <v>39</v>
      </c>
      <c r="D90">
        <v>24</v>
      </c>
    </row>
    <row r="91" spans="1:4" x14ac:dyDescent="0.2">
      <c r="A91" t="s">
        <v>89</v>
      </c>
      <c r="B91">
        <v>2</v>
      </c>
      <c r="C91">
        <v>42</v>
      </c>
      <c r="D91">
        <v>37</v>
      </c>
    </row>
    <row r="92" spans="1:4" x14ac:dyDescent="0.2">
      <c r="A92" t="s">
        <v>90</v>
      </c>
      <c r="B92">
        <v>3</v>
      </c>
      <c r="C92">
        <v>48</v>
      </c>
      <c r="D92">
        <v>64</v>
      </c>
    </row>
    <row r="93" spans="1:4" x14ac:dyDescent="0.2">
      <c r="A93" t="s">
        <v>91</v>
      </c>
      <c r="B93">
        <v>7</v>
      </c>
      <c r="C93">
        <v>25</v>
      </c>
      <c r="D93">
        <v>85</v>
      </c>
    </row>
    <row r="94" spans="1:4" x14ac:dyDescent="0.2">
      <c r="A94" t="s">
        <v>92</v>
      </c>
      <c r="B94">
        <v>20</v>
      </c>
      <c r="C94">
        <v>6</v>
      </c>
      <c r="D94">
        <v>55</v>
      </c>
    </row>
    <row r="95" spans="1:4" x14ac:dyDescent="0.2">
      <c r="A95" t="s">
        <v>93</v>
      </c>
      <c r="B95">
        <v>17</v>
      </c>
      <c r="C95">
        <v>4</v>
      </c>
      <c r="D95">
        <v>22</v>
      </c>
    </row>
    <row r="96" spans="1:4" x14ac:dyDescent="0.2">
      <c r="A96" t="s">
        <v>94</v>
      </c>
      <c r="B96">
        <v>18</v>
      </c>
      <c r="C96">
        <v>4</v>
      </c>
      <c r="D96">
        <v>21</v>
      </c>
    </row>
    <row r="97" spans="1:4" x14ac:dyDescent="0.2">
      <c r="A97" t="s">
        <v>95</v>
      </c>
      <c r="B97">
        <v>19</v>
      </c>
      <c r="C97">
        <v>4</v>
      </c>
      <c r="D97">
        <v>12</v>
      </c>
    </row>
    <row r="98" spans="1:4" x14ac:dyDescent="0.2">
      <c r="A98" t="s">
        <v>96</v>
      </c>
      <c r="B98">
        <v>8</v>
      </c>
      <c r="C98">
        <v>11</v>
      </c>
      <c r="D98">
        <v>21</v>
      </c>
    </row>
    <row r="99" spans="1:4" x14ac:dyDescent="0.2">
      <c r="A99" t="s">
        <v>97</v>
      </c>
      <c r="B99">
        <v>4</v>
      </c>
      <c r="C99">
        <v>14</v>
      </c>
      <c r="D99">
        <v>18</v>
      </c>
    </row>
    <row r="100" spans="1:4" x14ac:dyDescent="0.2">
      <c r="A100" t="s">
        <v>98</v>
      </c>
      <c r="B100">
        <v>4</v>
      </c>
      <c r="C100">
        <v>18</v>
      </c>
      <c r="D100">
        <v>22</v>
      </c>
    </row>
    <row r="101" spans="1:4" x14ac:dyDescent="0.2">
      <c r="A101" t="s">
        <v>99</v>
      </c>
      <c r="B101">
        <v>2</v>
      </c>
      <c r="C101">
        <v>26</v>
      </c>
      <c r="D101">
        <v>22</v>
      </c>
    </row>
    <row r="102" spans="1:4" x14ac:dyDescent="0.2">
      <c r="A102" t="s">
        <v>100</v>
      </c>
      <c r="B102">
        <v>1</v>
      </c>
      <c r="C102">
        <v>36</v>
      </c>
      <c r="D102">
        <v>25</v>
      </c>
    </row>
    <row r="103" spans="1:4" x14ac:dyDescent="0.2">
      <c r="A103" t="s">
        <v>101</v>
      </c>
      <c r="B103">
        <v>1</v>
      </c>
      <c r="C103">
        <v>53</v>
      </c>
      <c r="D103">
        <v>36</v>
      </c>
    </row>
    <row r="104" spans="1:4" x14ac:dyDescent="0.2">
      <c r="A104" t="s">
        <v>102</v>
      </c>
      <c r="B104">
        <v>3</v>
      </c>
      <c r="C104">
        <v>19</v>
      </c>
      <c r="D104">
        <v>56</v>
      </c>
    </row>
    <row r="105" spans="1:4" x14ac:dyDescent="0.2">
      <c r="A105" t="s">
        <v>103</v>
      </c>
      <c r="B105">
        <v>6</v>
      </c>
      <c r="C105">
        <v>10</v>
      </c>
      <c r="D105">
        <v>76</v>
      </c>
    </row>
    <row r="106" spans="1:4" x14ac:dyDescent="0.2">
      <c r="A106" t="s">
        <v>104</v>
      </c>
      <c r="B106">
        <v>12</v>
      </c>
      <c r="C106">
        <v>10</v>
      </c>
      <c r="D106">
        <v>56</v>
      </c>
    </row>
    <row r="107" spans="1:4" x14ac:dyDescent="0.2">
      <c r="A107" t="s">
        <v>105</v>
      </c>
      <c r="B107">
        <v>17</v>
      </c>
      <c r="C107">
        <v>4</v>
      </c>
      <c r="D107">
        <v>22</v>
      </c>
    </row>
    <row r="108" spans="1:4" x14ac:dyDescent="0.2">
      <c r="A108" t="s">
        <v>106</v>
      </c>
      <c r="B108">
        <v>20</v>
      </c>
      <c r="C108">
        <v>3</v>
      </c>
      <c r="D108">
        <v>19</v>
      </c>
    </row>
    <row r="109" spans="1:4" x14ac:dyDescent="0.2">
      <c r="A109" t="s">
        <v>107</v>
      </c>
      <c r="B109">
        <v>12</v>
      </c>
      <c r="C109">
        <v>4</v>
      </c>
      <c r="D109">
        <v>12</v>
      </c>
    </row>
    <row r="110" spans="1:4" x14ac:dyDescent="0.2">
      <c r="A110" t="s">
        <v>108</v>
      </c>
      <c r="B110">
        <v>9</v>
      </c>
      <c r="C110">
        <v>11</v>
      </c>
      <c r="D110">
        <v>20</v>
      </c>
    </row>
    <row r="111" spans="1:4" x14ac:dyDescent="0.2">
      <c r="A111" t="s">
        <v>109</v>
      </c>
      <c r="B111">
        <v>3</v>
      </c>
      <c r="C111">
        <v>13</v>
      </c>
      <c r="D111">
        <v>15</v>
      </c>
    </row>
    <row r="112" spans="1:4" x14ac:dyDescent="0.2">
      <c r="A112" t="s">
        <v>110</v>
      </c>
      <c r="B112">
        <v>2</v>
      </c>
      <c r="C112">
        <v>17</v>
      </c>
      <c r="D112">
        <v>20</v>
      </c>
    </row>
    <row r="113" spans="1:4" x14ac:dyDescent="0.2">
      <c r="A113" t="s">
        <v>111</v>
      </c>
      <c r="B113">
        <v>2</v>
      </c>
      <c r="C113">
        <v>22</v>
      </c>
      <c r="D113">
        <v>22</v>
      </c>
    </row>
    <row r="114" spans="1:4" x14ac:dyDescent="0.2">
      <c r="A114" t="s">
        <v>112</v>
      </c>
      <c r="B114">
        <v>1</v>
      </c>
      <c r="C114">
        <v>34</v>
      </c>
      <c r="D114">
        <v>22</v>
      </c>
    </row>
    <row r="115" spans="1:4" x14ac:dyDescent="0.2">
      <c r="A115" t="s">
        <v>113</v>
      </c>
      <c r="B115">
        <v>1</v>
      </c>
      <c r="C115">
        <v>29</v>
      </c>
      <c r="D115">
        <v>32</v>
      </c>
    </row>
    <row r="116" spans="1:4" x14ac:dyDescent="0.2">
      <c r="A116" t="s">
        <v>114</v>
      </c>
      <c r="B116">
        <v>2</v>
      </c>
      <c r="C116">
        <v>22</v>
      </c>
      <c r="D116">
        <v>52</v>
      </c>
    </row>
    <row r="117" spans="1:4" x14ac:dyDescent="0.2">
      <c r="A117" t="s">
        <v>115</v>
      </c>
      <c r="B117">
        <v>6</v>
      </c>
      <c r="C117">
        <v>13</v>
      </c>
      <c r="D117">
        <v>70</v>
      </c>
    </row>
    <row r="118" spans="1:4" x14ac:dyDescent="0.2">
      <c r="A118" t="s">
        <v>116</v>
      </c>
      <c r="B118">
        <v>18</v>
      </c>
      <c r="C118">
        <v>6</v>
      </c>
      <c r="D118">
        <v>45</v>
      </c>
    </row>
    <row r="119" spans="1:4" x14ac:dyDescent="0.2">
      <c r="A119" t="s">
        <v>117</v>
      </c>
      <c r="B119">
        <v>15</v>
      </c>
      <c r="C119">
        <v>3</v>
      </c>
      <c r="D119">
        <v>17</v>
      </c>
    </row>
    <row r="120" spans="1:4" x14ac:dyDescent="0.2">
      <c r="A120" t="s">
        <v>118</v>
      </c>
      <c r="B120">
        <v>18</v>
      </c>
      <c r="C120">
        <v>3</v>
      </c>
      <c r="D120">
        <v>15</v>
      </c>
    </row>
    <row r="121" spans="1:4" x14ac:dyDescent="0.2">
      <c r="A121" t="s">
        <v>119</v>
      </c>
      <c r="B121">
        <v>10</v>
      </c>
      <c r="C121">
        <v>4</v>
      </c>
      <c r="D121">
        <v>12</v>
      </c>
    </row>
    <row r="122" spans="1:4" x14ac:dyDescent="0.2">
      <c r="A122" t="s">
        <v>120</v>
      </c>
      <c r="B122">
        <v>8</v>
      </c>
      <c r="C122">
        <v>9</v>
      </c>
      <c r="D122">
        <v>18</v>
      </c>
    </row>
    <row r="123" spans="1:4" x14ac:dyDescent="0.2">
      <c r="A123" t="s">
        <v>121</v>
      </c>
      <c r="B123">
        <v>4</v>
      </c>
      <c r="C123">
        <v>12</v>
      </c>
      <c r="D123">
        <v>14</v>
      </c>
    </row>
    <row r="124" spans="1:4" x14ac:dyDescent="0.2">
      <c r="A124" t="s">
        <v>122</v>
      </c>
      <c r="B124">
        <v>2</v>
      </c>
      <c r="C124">
        <v>17</v>
      </c>
      <c r="D124">
        <v>21</v>
      </c>
    </row>
    <row r="125" spans="1:4" x14ac:dyDescent="0.2">
      <c r="A125" t="s">
        <v>123</v>
      </c>
      <c r="B125">
        <v>1</v>
      </c>
      <c r="C125">
        <v>26</v>
      </c>
      <c r="D125">
        <v>23</v>
      </c>
    </row>
    <row r="126" spans="1:4" x14ac:dyDescent="0.2">
      <c r="A126" t="s">
        <v>124</v>
      </c>
      <c r="B126">
        <v>1</v>
      </c>
      <c r="C126">
        <v>29</v>
      </c>
      <c r="D126">
        <v>22</v>
      </c>
    </row>
    <row r="127" spans="1:4" x14ac:dyDescent="0.2">
      <c r="A127" t="s">
        <v>125</v>
      </c>
      <c r="B127">
        <v>1</v>
      </c>
      <c r="C127">
        <v>32</v>
      </c>
      <c r="D127">
        <v>34</v>
      </c>
    </row>
    <row r="128" spans="1:4" x14ac:dyDescent="0.2">
      <c r="A128" t="s">
        <v>126</v>
      </c>
      <c r="B128">
        <v>2</v>
      </c>
      <c r="C128">
        <v>27</v>
      </c>
      <c r="D128">
        <v>54</v>
      </c>
    </row>
    <row r="129" spans="1:4" x14ac:dyDescent="0.2">
      <c r="A129" t="s">
        <v>127</v>
      </c>
      <c r="B129">
        <v>6</v>
      </c>
      <c r="C129">
        <v>14</v>
      </c>
      <c r="D129">
        <v>73</v>
      </c>
    </row>
    <row r="130" spans="1:4" x14ac:dyDescent="0.2">
      <c r="A130" t="s">
        <v>128</v>
      </c>
      <c r="B130">
        <v>14</v>
      </c>
      <c r="C130">
        <v>6</v>
      </c>
      <c r="D130">
        <v>43</v>
      </c>
    </row>
    <row r="131" spans="1:4" x14ac:dyDescent="0.2">
      <c r="A131" t="s">
        <v>129</v>
      </c>
      <c r="B131">
        <v>13</v>
      </c>
      <c r="C131">
        <v>4</v>
      </c>
      <c r="D131">
        <v>16</v>
      </c>
    </row>
    <row r="132" spans="1:4" x14ac:dyDescent="0.2">
      <c r="A132" t="s">
        <v>130</v>
      </c>
      <c r="B132">
        <v>16</v>
      </c>
      <c r="C132">
        <v>4</v>
      </c>
      <c r="D132">
        <v>16</v>
      </c>
    </row>
    <row r="133" spans="1:4" x14ac:dyDescent="0.2">
      <c r="A133" t="s">
        <v>131</v>
      </c>
      <c r="B133">
        <v>11</v>
      </c>
      <c r="C133">
        <v>5</v>
      </c>
      <c r="D133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0A50-74ED-2A4A-9767-1E4F8AB92D75}">
  <dimension ref="A1:E7"/>
  <sheetViews>
    <sheetView workbookViewId="0">
      <selection activeCell="C7" sqref="C7"/>
    </sheetView>
  </sheetViews>
  <sheetFormatPr baseColWidth="10" defaultRowHeight="16" x14ac:dyDescent="0.2"/>
  <sheetData>
    <row r="1" spans="1:5" x14ac:dyDescent="0.2">
      <c r="A1" s="2" t="s">
        <v>139</v>
      </c>
      <c r="B1" s="2" t="s">
        <v>157</v>
      </c>
      <c r="C1" s="2" t="s">
        <v>158</v>
      </c>
      <c r="D1" s="2" t="s">
        <v>159</v>
      </c>
      <c r="E1" s="2" t="s">
        <v>160</v>
      </c>
    </row>
    <row r="2" spans="1:5" x14ac:dyDescent="0.2">
      <c r="A2" t="s">
        <v>146</v>
      </c>
      <c r="B2" s="3">
        <f>AVERAGE(Master!B2:B133)</f>
        <v>95.801515151515147</v>
      </c>
      <c r="C2" s="3">
        <f>_xlfn.STDEV.S(Master!B2:B133)</f>
        <v>18.481453401293798</v>
      </c>
      <c r="D2">
        <f>MIN(Master!B2:B133)</f>
        <v>31.1</v>
      </c>
      <c r="E2">
        <f>MAX(Master!B2:B133)</f>
        <v>144.69999999999999</v>
      </c>
    </row>
    <row r="3" spans="1:5" x14ac:dyDescent="0.2">
      <c r="A3" t="s">
        <v>134</v>
      </c>
      <c r="B3" s="3">
        <f>AVERAGE(Master!C2:C133)</f>
        <v>106.87727272727268</v>
      </c>
      <c r="C3" s="3">
        <f>_xlfn.STDEV.S(Master!C2:C133)</f>
        <v>7.9382020664121073</v>
      </c>
      <c r="D3">
        <f>MIN(Master!C2:C133)</f>
        <v>95.7</v>
      </c>
      <c r="E3">
        <f>MAX(Master!C2:C133)</f>
        <v>122.6</v>
      </c>
    </row>
    <row r="4" spans="1:5" x14ac:dyDescent="0.2">
      <c r="A4" t="s">
        <v>135</v>
      </c>
      <c r="B4" s="3">
        <f>AVERAGE(Master!D2:D133)</f>
        <v>9.045454545454545</v>
      </c>
      <c r="C4" s="3">
        <f>_xlfn.STDEV.S(Master!D2:D133)</f>
        <v>8.3335646509648704</v>
      </c>
      <c r="D4">
        <f>MIN(Master!D2:D133)</f>
        <v>1</v>
      </c>
      <c r="E4">
        <f>MAX(Master!D2:D133)</f>
        <v>33</v>
      </c>
    </row>
    <row r="5" spans="1:5" x14ac:dyDescent="0.2">
      <c r="A5" t="s">
        <v>136</v>
      </c>
      <c r="B5" s="3">
        <f>AVERAGE(Master!E2:E133)</f>
        <v>14.484848484848484</v>
      </c>
      <c r="C5" s="3">
        <f>_xlfn.STDEV.S(Master!E2:E133)</f>
        <v>11.522619539218077</v>
      </c>
      <c r="D5">
        <f>MIN(Master!E2:E133)</f>
        <v>2</v>
      </c>
      <c r="E5">
        <f>MAX(Master!E2:E133)</f>
        <v>53</v>
      </c>
    </row>
    <row r="6" spans="1:5" x14ac:dyDescent="0.2">
      <c r="A6" t="s">
        <v>137</v>
      </c>
      <c r="B6" s="3">
        <f>AVERAGE(Master!F2:F133)</f>
        <v>0.63636363636363635</v>
      </c>
      <c r="C6" s="3">
        <f>_xlfn.STDEV.S(Master!F2:F133)</f>
        <v>2.0648742721746927</v>
      </c>
      <c r="D6">
        <f>MIN(Master!F2:F133)</f>
        <v>0</v>
      </c>
      <c r="E6">
        <f>MAX(Master!F2:F133)</f>
        <v>9</v>
      </c>
    </row>
    <row r="7" spans="1:5" x14ac:dyDescent="0.2">
      <c r="A7" t="s">
        <v>138</v>
      </c>
      <c r="B7" s="3">
        <f>AVERAGE(Master!G2:G133)</f>
        <v>30.068181818181817</v>
      </c>
      <c r="C7" s="3">
        <f>_xlfn.STDEV.S(Master!G2:G133)</f>
        <v>19.857197507508104</v>
      </c>
      <c r="D7">
        <f>MIN(Master!G2:G133)</f>
        <v>9</v>
      </c>
      <c r="E7">
        <f>MAX(Master!G2:G133)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A135-7B0F-CA42-BFE6-C79E0824D0EB}">
  <dimension ref="A1"/>
  <sheetViews>
    <sheetView topLeftCell="A2" workbookViewId="0">
      <selection activeCell="J22" sqref="J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Data Dictionary</vt:lpstr>
      <vt:lpstr>chart2</vt:lpstr>
      <vt:lpstr>Chart3</vt:lpstr>
      <vt:lpstr>Descriptive_Statistics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Alby Sojan</dc:creator>
  <cp:lastModifiedBy>Alby Sojan</cp:lastModifiedBy>
  <dcterms:created xsi:type="dcterms:W3CDTF">2026-06-16T12:58:43Z</dcterms:created>
  <dcterms:modified xsi:type="dcterms:W3CDTF">2026-08-17T12:13:08Z</dcterms:modified>
</cp:coreProperties>
</file>